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WhatIfAnalysis/"/>
    </mc:Choice>
  </mc:AlternateContent>
  <xr:revisionPtr revIDLastSave="228" documentId="11_F25DC773A252ABDACC1048C9A1DF6BC05ADE58E5" xr6:coauthVersionLast="47" xr6:coauthVersionMax="47" xr10:uidLastSave="{39385503-588B-439C-8A36-98501D19BB72}"/>
  <bookViews>
    <workbookView xWindow="-108" yWindow="-108" windowWidth="23256" windowHeight="12456" activeTab="1" xr2:uid="{00000000-000D-0000-FFFF-FFFF00000000}"/>
  </bookViews>
  <sheets>
    <sheet name="GoalSeek" sheetId="3" r:id="rId1"/>
    <sheet name="QuadraticEquation" sheetId="8" r:id="rId2"/>
    <sheet name="2varDataTable" sheetId="6" r:id="rId3"/>
    <sheet name="1varDataTable" sheetId="7" r:id="rId4"/>
    <sheet name="Scenario Summary" sheetId="5" r:id="rId5"/>
    <sheet name="WhatIfAnalysis" sheetId="1" r:id="rId6"/>
  </sheets>
  <definedNames>
    <definedName name="sold_at_highest_price">WhatIfAnalysis!$B$2</definedName>
    <definedName name="total_profit">WhatIfAnalysis!$C$8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" i="8"/>
  <c r="B6" i="6"/>
  <c r="B5" i="6"/>
  <c r="K5" i="7"/>
  <c r="O1" i="7" s="1"/>
  <c r="B6" i="7"/>
  <c r="B5" i="7"/>
  <c r="C8" i="7" s="1"/>
  <c r="I1" i="3"/>
  <c r="F5" i="3"/>
  <c r="B6" i="3"/>
  <c r="H6" i="1"/>
  <c r="H5" i="1"/>
  <c r="I8" i="1" s="1"/>
  <c r="B6" i="1"/>
  <c r="B5" i="1"/>
  <c r="C8" i="6" l="1"/>
  <c r="A12" i="6" s="1"/>
  <c r="G1" i="7"/>
  <c r="C8" i="1"/>
</calcChain>
</file>

<file path=xl/sharedStrings.xml><?xml version="1.0" encoding="utf-8"?>
<sst xmlns="http://schemas.openxmlformats.org/spreadsheetml/2006/main" count="60" uniqueCount="38">
  <si>
    <t>no. of books</t>
  </si>
  <si>
    <t>highest price</t>
  </si>
  <si>
    <t>lowest price</t>
  </si>
  <si>
    <t>unit profit</t>
  </si>
  <si>
    <t>total profit</t>
  </si>
  <si>
    <t>total no. of books</t>
  </si>
  <si>
    <t>% of books sold at highest price</t>
  </si>
  <si>
    <t>70 percent</t>
  </si>
  <si>
    <t>Created by Govind on 06-02-2026</t>
  </si>
  <si>
    <t xml:space="preserve">10 percent 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</si>
  <si>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</si>
  <si>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</si>
  <si>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</si>
  <si>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</si>
  <si>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</si>
  <si>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</si>
  <si>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</si>
  <si>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sold_at_highest_price</t>
  </si>
  <si>
    <t>total_profit</t>
  </si>
  <si>
    <t>Exam 1</t>
  </si>
  <si>
    <t>Exam 2</t>
  </si>
  <si>
    <t>Exam 3</t>
  </si>
  <si>
    <t>Exam 4</t>
  </si>
  <si>
    <t>average</t>
  </si>
  <si>
    <t xml:space="preserve">Exams </t>
  </si>
  <si>
    <t>Marks</t>
  </si>
  <si>
    <t>Annual rate</t>
  </si>
  <si>
    <t>Years</t>
  </si>
  <si>
    <t>Loan Amount</t>
  </si>
  <si>
    <t>Monthly Payment</t>
  </si>
  <si>
    <t>Selling Price</t>
  </si>
  <si>
    <t>Cost Per Unit</t>
  </si>
  <si>
    <t>Unit Sold</t>
  </si>
  <si>
    <t>profit</t>
  </si>
  <si>
    <t>Highest Price</t>
  </si>
  <si>
    <t>% of book sold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</si>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</sst>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7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9" fontId="0" fillId="0" borderId="0" xfId="0" applyNumberFormat="1"/>
    <xf numFmtId="164" fontId="0" fillId="0" borderId="2" xfId="0" applyNumberFormat="1" applyBorder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Border="1"/>
    <xf numFmtId="0" fontId="2" fillId="3" borderId="0" xfId="0" applyFont="1" applyFill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5" fillId="0" borderId="0" xfId="0" applyFont="1" applyAlignment="1">
      <alignment vertical="top" wrapText="1"/>
    </xf>
    <xf numFmtId="9" fontId="0" fillId="4" borderId="0" xfId="0" applyNumberFormat="1" applyFill="1"/>
    <xf numFmtId="164" fontId="0" fillId="5" borderId="0" xfId="0" applyNumberFormat="1" applyFill="1"/>
    <xf numFmtId="9" fontId="0" fillId="6" borderId="0" xfId="0" applyNumberFormat="1" applyFill="1"/>
    <xf numFmtId="2" fontId="0" fillId="0" borderId="0" xfId="0" applyNumberFormat="1"/>
    <xf numFmtId="0" fontId="0" fillId="4" borderId="5" xfId="0" applyFill="1" applyBorder="1"/>
    <xf numFmtId="0" fontId="0" fillId="7" borderId="5" xfId="0" applyFill="1" applyBorder="1"/>
    <xf numFmtId="9" fontId="0" fillId="7" borderId="5" xfId="0" applyNumberFormat="1" applyFill="1" applyBorder="1"/>
    <xf numFmtId="164" fontId="0" fillId="7" borderId="5" xfId="0" applyNumberFormat="1" applyFill="1" applyBorder="1"/>
    <xf numFmtId="1" fontId="0" fillId="8" borderId="5" xfId="0" applyNumberFormat="1" applyFill="1" applyBorder="1"/>
    <xf numFmtId="10" fontId="0" fillId="0" borderId="0" xfId="0" applyNumberFormat="1"/>
    <xf numFmtId="2" fontId="0" fillId="4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QuadraticEquation!$A$2:$A$22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QuadraticEquation!$B$2:$B$22</c:f>
              <c:numCache>
                <c:formatCode>General</c:formatCode>
                <c:ptCount val="21"/>
                <c:pt idx="0">
                  <c:v>429.5</c:v>
                </c:pt>
                <c:pt idx="1">
                  <c:v>360.5</c:v>
                </c:pt>
                <c:pt idx="2">
                  <c:v>297.5</c:v>
                </c:pt>
                <c:pt idx="3">
                  <c:v>240.5</c:v>
                </c:pt>
                <c:pt idx="4">
                  <c:v>189.5</c:v>
                </c:pt>
                <c:pt idx="5">
                  <c:v>144.5</c:v>
                </c:pt>
                <c:pt idx="6">
                  <c:v>105.5</c:v>
                </c:pt>
                <c:pt idx="7">
                  <c:v>72.5</c:v>
                </c:pt>
                <c:pt idx="8">
                  <c:v>45.5</c:v>
                </c:pt>
                <c:pt idx="9">
                  <c:v>24.5</c:v>
                </c:pt>
                <c:pt idx="10">
                  <c:v>9.5</c:v>
                </c:pt>
                <c:pt idx="11">
                  <c:v>0.5</c:v>
                </c:pt>
                <c:pt idx="12">
                  <c:v>-2.5</c:v>
                </c:pt>
                <c:pt idx="13">
                  <c:v>0.5</c:v>
                </c:pt>
                <c:pt idx="14">
                  <c:v>9.5</c:v>
                </c:pt>
                <c:pt idx="15">
                  <c:v>24.5</c:v>
                </c:pt>
                <c:pt idx="16">
                  <c:v>45.5</c:v>
                </c:pt>
                <c:pt idx="17">
                  <c:v>72.5</c:v>
                </c:pt>
                <c:pt idx="18">
                  <c:v>105.5</c:v>
                </c:pt>
                <c:pt idx="19">
                  <c:v>144.5</c:v>
                </c:pt>
                <c:pt idx="20">
                  <c:v>189.5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05-4D34-81F4-655C57DDE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219184"/>
        <c:axId val="1501220624"/>
      </c:scatterChart>
      <c:valAx>
        <c:axId val="150121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20624"/>
        <c:crosses val="autoZero"/>
        <c:crossBetween val="midCat"/>
      </c:valAx>
      <c:valAx>
        <c:axId val="15012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1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C4B799-5042-3312-F42A-CEAB6D1F7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9498-1ACE-4660-80F4-3F41E9999B15}">
  <dimension ref="A1:I6"/>
  <sheetViews>
    <sheetView workbookViewId="0">
      <selection activeCell="K19" sqref="K19"/>
    </sheetView>
  </sheetViews>
  <sheetFormatPr defaultRowHeight="14.4" x14ac:dyDescent="0.3"/>
  <cols>
    <col min="1" max="1" width="7.44140625" bestFit="1" customWidth="1"/>
    <col min="2" max="2" width="6" bestFit="1" customWidth="1"/>
    <col min="5" max="5" width="10.33203125" bestFit="1" customWidth="1"/>
    <col min="6" max="6" width="12.5546875" bestFit="1" customWidth="1"/>
  </cols>
  <sheetData>
    <row r="1" spans="1:9" x14ac:dyDescent="0.3">
      <c r="A1" s="17" t="s">
        <v>24</v>
      </c>
      <c r="B1" s="17" t="s">
        <v>25</v>
      </c>
      <c r="E1" s="18" t="s">
        <v>26</v>
      </c>
      <c r="F1" s="19">
        <v>0.06</v>
      </c>
      <c r="H1" s="21">
        <v>4.999976457494486</v>
      </c>
      <c r="I1" s="21">
        <f>H1^2</f>
        <v>24.99976457549911</v>
      </c>
    </row>
    <row r="2" spans="1:9" x14ac:dyDescent="0.3">
      <c r="A2" s="17" t="s">
        <v>19</v>
      </c>
      <c r="B2" s="17">
        <v>50</v>
      </c>
      <c r="E2" s="18" t="s">
        <v>27</v>
      </c>
      <c r="F2" s="18">
        <v>30</v>
      </c>
    </row>
    <row r="3" spans="1:9" x14ac:dyDescent="0.3">
      <c r="A3" s="17" t="s">
        <v>20</v>
      </c>
      <c r="B3" s="17">
        <v>60</v>
      </c>
      <c r="E3" s="18" t="s">
        <v>28</v>
      </c>
      <c r="F3" s="20">
        <v>250187.42158850297</v>
      </c>
    </row>
    <row r="4" spans="1:9" x14ac:dyDescent="0.3">
      <c r="A4" s="17" t="s">
        <v>21</v>
      </c>
      <c r="B4" s="17">
        <v>80</v>
      </c>
      <c r="E4" s="18"/>
      <c r="F4" s="18"/>
    </row>
    <row r="5" spans="1:9" x14ac:dyDescent="0.3">
      <c r="A5" s="17" t="s">
        <v>22</v>
      </c>
      <c r="B5" s="17">
        <v>89.999999999999986</v>
      </c>
      <c r="E5" s="18" t="s">
        <v>29</v>
      </c>
      <c r="F5" s="20">
        <f>-(PMT(F1/12,F2*12,F3))</f>
        <v>1500</v>
      </c>
    </row>
    <row r="6" spans="1:9" x14ac:dyDescent="0.3">
      <c r="A6" s="17" t="s">
        <v>23</v>
      </c>
      <c r="B6" s="17">
        <f>AVERAGE(B2:B5)</f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6D7A-7135-46D1-816F-77282DBA5474}">
  <dimension ref="A1:B22"/>
  <sheetViews>
    <sheetView tabSelected="1" zoomScale="110" zoomScaleNormal="110" workbookViewId="0">
      <selection activeCell="F20" sqref="F20"/>
    </sheetView>
  </sheetViews>
  <sheetFormatPr defaultRowHeight="14.4" x14ac:dyDescent="0.3"/>
  <sheetData>
    <row r="1" spans="1:2" x14ac:dyDescent="0.3">
      <c r="A1" t="s">
        <v>36</v>
      </c>
      <c r="B1" t="s">
        <v>37</v>
      </c>
    </row>
    <row r="2" spans="1:2" x14ac:dyDescent="0.3">
      <c r="A2">
        <v>-10</v>
      </c>
      <c r="B2">
        <f>3*A2^2-12*A2+9.5</f>
        <v>429.5</v>
      </c>
    </row>
    <row r="3" spans="1:2" x14ac:dyDescent="0.3">
      <c r="A3">
        <v>-9</v>
      </c>
      <c r="B3">
        <f t="shared" ref="B3:B22" si="0">3*A3^2-12*A3+9.5</f>
        <v>360.5</v>
      </c>
    </row>
    <row r="4" spans="1:2" x14ac:dyDescent="0.3">
      <c r="A4">
        <v>-8</v>
      </c>
      <c r="B4">
        <f t="shared" si="0"/>
        <v>297.5</v>
      </c>
    </row>
    <row r="5" spans="1:2" x14ac:dyDescent="0.3">
      <c r="A5">
        <v>-7</v>
      </c>
      <c r="B5">
        <f t="shared" si="0"/>
        <v>240.5</v>
      </c>
    </row>
    <row r="6" spans="1:2" x14ac:dyDescent="0.3">
      <c r="A6">
        <v>-6</v>
      </c>
      <c r="B6">
        <f t="shared" si="0"/>
        <v>189.5</v>
      </c>
    </row>
    <row r="7" spans="1:2" x14ac:dyDescent="0.3">
      <c r="A7">
        <v>-5</v>
      </c>
      <c r="B7">
        <f t="shared" si="0"/>
        <v>144.5</v>
      </c>
    </row>
    <row r="8" spans="1:2" x14ac:dyDescent="0.3">
      <c r="A8">
        <v>-4</v>
      </c>
      <c r="B8">
        <f t="shared" si="0"/>
        <v>105.5</v>
      </c>
    </row>
    <row r="9" spans="1:2" x14ac:dyDescent="0.3">
      <c r="A9">
        <v>-3</v>
      </c>
      <c r="B9">
        <f t="shared" si="0"/>
        <v>72.5</v>
      </c>
    </row>
    <row r="10" spans="1:2" x14ac:dyDescent="0.3">
      <c r="A10">
        <v>-2</v>
      </c>
      <c r="B10">
        <f t="shared" si="0"/>
        <v>45.5</v>
      </c>
    </row>
    <row r="11" spans="1:2" x14ac:dyDescent="0.3">
      <c r="A11">
        <v>-1</v>
      </c>
      <c r="B11">
        <f t="shared" si="0"/>
        <v>24.5</v>
      </c>
    </row>
    <row r="12" spans="1:2" x14ac:dyDescent="0.3">
      <c r="A12">
        <v>0</v>
      </c>
      <c r="B12">
        <f t="shared" si="0"/>
        <v>9.5</v>
      </c>
    </row>
    <row r="13" spans="1:2" x14ac:dyDescent="0.3">
      <c r="A13">
        <v>1</v>
      </c>
      <c r="B13">
        <f t="shared" si="0"/>
        <v>0.5</v>
      </c>
    </row>
    <row r="14" spans="1:2" x14ac:dyDescent="0.3">
      <c r="A14">
        <v>2</v>
      </c>
      <c r="B14">
        <f t="shared" si="0"/>
        <v>-2.5</v>
      </c>
    </row>
    <row r="15" spans="1:2" x14ac:dyDescent="0.3">
      <c r="A15">
        <v>3</v>
      </c>
      <c r="B15">
        <f t="shared" si="0"/>
        <v>0.5</v>
      </c>
    </row>
    <row r="16" spans="1:2" x14ac:dyDescent="0.3">
      <c r="A16">
        <v>4</v>
      </c>
      <c r="B16">
        <f t="shared" si="0"/>
        <v>9.5</v>
      </c>
    </row>
    <row r="17" spans="1:2" x14ac:dyDescent="0.3">
      <c r="A17">
        <v>5</v>
      </c>
      <c r="B17">
        <f t="shared" si="0"/>
        <v>24.5</v>
      </c>
    </row>
    <row r="18" spans="1:2" x14ac:dyDescent="0.3">
      <c r="A18">
        <v>6</v>
      </c>
      <c r="B18">
        <f t="shared" si="0"/>
        <v>45.5</v>
      </c>
    </row>
    <row r="19" spans="1:2" x14ac:dyDescent="0.3">
      <c r="A19">
        <v>7</v>
      </c>
      <c r="B19">
        <f t="shared" si="0"/>
        <v>72.5</v>
      </c>
    </row>
    <row r="20" spans="1:2" x14ac:dyDescent="0.3">
      <c r="A20">
        <v>8</v>
      </c>
      <c r="B20">
        <f t="shared" si="0"/>
        <v>105.5</v>
      </c>
    </row>
    <row r="21" spans="1:2" x14ac:dyDescent="0.3">
      <c r="A21">
        <v>9</v>
      </c>
      <c r="B21">
        <f t="shared" si="0"/>
        <v>144.5</v>
      </c>
    </row>
    <row r="22" spans="1:2" x14ac:dyDescent="0.3">
      <c r="A22">
        <v>10</v>
      </c>
      <c r="B22">
        <f t="shared" si="0"/>
        <v>189.5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113D-129A-4789-9798-3F280FA3B743}">
  <dimension ref="A1:K22"/>
  <sheetViews>
    <sheetView workbookViewId="0">
      <selection activeCell="I27" sqref="I27"/>
    </sheetView>
  </sheetViews>
  <sheetFormatPr defaultColWidth="11.5546875" defaultRowHeight="14.4" x14ac:dyDescent="0.3"/>
  <cols>
    <col min="1" max="1" width="15.6640625" bestFit="1" customWidth="1"/>
    <col min="2" max="2" width="27" bestFit="1" customWidth="1"/>
    <col min="3" max="3" width="9.44140625" bestFit="1" customWidth="1"/>
  </cols>
  <sheetData>
    <row r="1" spans="1:11" x14ac:dyDescent="0.3">
      <c r="A1" t="s">
        <v>5</v>
      </c>
      <c r="B1" t="s">
        <v>6</v>
      </c>
    </row>
    <row r="2" spans="1:11" x14ac:dyDescent="0.3">
      <c r="A2">
        <v>100</v>
      </c>
      <c r="B2" s="13">
        <v>0.6</v>
      </c>
    </row>
    <row r="4" spans="1:11" x14ac:dyDescent="0.3">
      <c r="B4" t="s">
        <v>0</v>
      </c>
      <c r="C4" t="s">
        <v>3</v>
      </c>
    </row>
    <row r="5" spans="1:11" x14ac:dyDescent="0.3">
      <c r="A5" t="s">
        <v>1</v>
      </c>
      <c r="B5" s="16">
        <f>B2*A2</f>
        <v>60</v>
      </c>
      <c r="C5" s="1">
        <v>50</v>
      </c>
    </row>
    <row r="6" spans="1:11" x14ac:dyDescent="0.3">
      <c r="A6" t="s">
        <v>2</v>
      </c>
      <c r="B6" s="16">
        <f>(1-B2)*A2</f>
        <v>40</v>
      </c>
      <c r="C6" s="1">
        <v>20</v>
      </c>
    </row>
    <row r="8" spans="1:11" x14ac:dyDescent="0.3">
      <c r="B8" t="s">
        <v>4</v>
      </c>
      <c r="C8" s="14">
        <f>SUM(B5*C5,B6*C6)</f>
        <v>3800</v>
      </c>
    </row>
    <row r="11" spans="1:11" x14ac:dyDescent="0.3">
      <c r="A11" t="s">
        <v>35</v>
      </c>
      <c r="B11" s="24" t="s">
        <v>34</v>
      </c>
      <c r="C11" s="24"/>
      <c r="D11" s="24"/>
      <c r="E11" s="24"/>
      <c r="F11" s="24"/>
      <c r="G11" s="24"/>
      <c r="H11" s="24"/>
      <c r="I11" s="24"/>
      <c r="J11" s="24"/>
      <c r="K11" s="24"/>
    </row>
    <row r="12" spans="1:11" x14ac:dyDescent="0.3">
      <c r="A12" s="1">
        <f>C8</f>
        <v>3800</v>
      </c>
      <c r="B12" s="1">
        <v>10</v>
      </c>
      <c r="C12" s="1">
        <v>20</v>
      </c>
      <c r="D12" s="1">
        <v>30</v>
      </c>
      <c r="E12" s="1">
        <v>40</v>
      </c>
      <c r="F12" s="1">
        <v>50</v>
      </c>
      <c r="G12" s="1">
        <v>60</v>
      </c>
      <c r="H12" s="1">
        <v>70</v>
      </c>
      <c r="I12" s="1">
        <v>80</v>
      </c>
      <c r="J12" s="1">
        <v>90</v>
      </c>
      <c r="K12" s="1">
        <v>100</v>
      </c>
    </row>
    <row r="13" spans="1:11" x14ac:dyDescent="0.3">
      <c r="A13" s="22">
        <v>0.1</v>
      </c>
      <c r="B13" s="1">
        <f t="dataTable" ref="B13:K22" dt2D="1" dtr="1" r1="C5" r2="B2"/>
        <v>1900</v>
      </c>
      <c r="C13" s="1">
        <v>2000</v>
      </c>
      <c r="D13" s="1">
        <v>2100</v>
      </c>
      <c r="E13" s="1">
        <v>2200</v>
      </c>
      <c r="F13" s="1">
        <v>2300</v>
      </c>
      <c r="G13" s="1">
        <v>2400</v>
      </c>
      <c r="H13" s="1">
        <v>2500</v>
      </c>
      <c r="I13" s="1">
        <v>2600</v>
      </c>
      <c r="J13" s="1">
        <v>2700</v>
      </c>
      <c r="K13" s="1">
        <v>2800</v>
      </c>
    </row>
    <row r="14" spans="1:11" x14ac:dyDescent="0.3">
      <c r="A14" s="22">
        <v>0.2</v>
      </c>
      <c r="B14" s="1">
        <v>1800</v>
      </c>
      <c r="C14" s="1">
        <v>2000</v>
      </c>
      <c r="D14" s="1">
        <v>2200</v>
      </c>
      <c r="E14" s="1">
        <v>2400</v>
      </c>
      <c r="F14" s="1">
        <v>2600</v>
      </c>
      <c r="G14" s="1">
        <v>2800</v>
      </c>
      <c r="H14" s="1">
        <v>3000</v>
      </c>
      <c r="I14" s="1">
        <v>3200</v>
      </c>
      <c r="J14" s="1">
        <v>3400</v>
      </c>
      <c r="K14" s="1">
        <v>3600</v>
      </c>
    </row>
    <row r="15" spans="1:11" x14ac:dyDescent="0.3">
      <c r="A15" s="22">
        <v>0.3</v>
      </c>
      <c r="B15" s="1">
        <v>1700</v>
      </c>
      <c r="C15" s="1">
        <v>2000</v>
      </c>
      <c r="D15" s="1">
        <v>2300</v>
      </c>
      <c r="E15" s="1">
        <v>2600</v>
      </c>
      <c r="F15" s="1">
        <v>2900</v>
      </c>
      <c r="G15" s="1">
        <v>3200</v>
      </c>
      <c r="H15" s="1">
        <v>3500</v>
      </c>
      <c r="I15" s="1">
        <v>3800</v>
      </c>
      <c r="J15" s="1">
        <v>4100</v>
      </c>
      <c r="K15" s="1">
        <v>4400</v>
      </c>
    </row>
    <row r="16" spans="1:11" x14ac:dyDescent="0.3">
      <c r="A16" s="22">
        <v>0.4</v>
      </c>
      <c r="B16" s="1">
        <v>1600</v>
      </c>
      <c r="C16" s="1">
        <v>2000</v>
      </c>
      <c r="D16" s="1">
        <v>2400</v>
      </c>
      <c r="E16" s="1">
        <v>2800</v>
      </c>
      <c r="F16" s="1">
        <v>3200</v>
      </c>
      <c r="G16" s="1">
        <v>3600</v>
      </c>
      <c r="H16" s="1">
        <v>4000</v>
      </c>
      <c r="I16" s="1">
        <v>4400</v>
      </c>
      <c r="J16" s="1">
        <v>4800</v>
      </c>
      <c r="K16" s="1">
        <v>5200</v>
      </c>
    </row>
    <row r="17" spans="1:11" x14ac:dyDescent="0.3">
      <c r="A17" s="22">
        <v>0.5</v>
      </c>
      <c r="B17" s="1">
        <v>1500</v>
      </c>
      <c r="C17" s="1">
        <v>2000</v>
      </c>
      <c r="D17" s="1">
        <v>2500</v>
      </c>
      <c r="E17" s="1">
        <v>3000</v>
      </c>
      <c r="F17" s="1">
        <v>3500</v>
      </c>
      <c r="G17" s="1">
        <v>4000</v>
      </c>
      <c r="H17" s="1">
        <v>4500</v>
      </c>
      <c r="I17" s="1">
        <v>5000</v>
      </c>
      <c r="J17" s="1">
        <v>5500</v>
      </c>
      <c r="K17" s="1">
        <v>6000</v>
      </c>
    </row>
    <row r="18" spans="1:11" x14ac:dyDescent="0.3">
      <c r="A18" s="22">
        <v>0.6</v>
      </c>
      <c r="B18" s="1">
        <v>1400</v>
      </c>
      <c r="C18" s="1">
        <v>2000</v>
      </c>
      <c r="D18" s="1">
        <v>2600</v>
      </c>
      <c r="E18" s="1">
        <v>3200</v>
      </c>
      <c r="F18" s="1">
        <v>3800</v>
      </c>
      <c r="G18" s="1">
        <v>4400</v>
      </c>
      <c r="H18" s="1">
        <v>5000</v>
      </c>
      <c r="I18" s="1">
        <v>5600</v>
      </c>
      <c r="J18" s="1">
        <v>6200</v>
      </c>
      <c r="K18" s="1">
        <v>6800</v>
      </c>
    </row>
    <row r="19" spans="1:11" x14ac:dyDescent="0.3">
      <c r="A19" s="22">
        <v>0.7</v>
      </c>
      <c r="B19" s="1">
        <v>1300</v>
      </c>
      <c r="C19" s="1">
        <v>2000</v>
      </c>
      <c r="D19" s="1">
        <v>2700</v>
      </c>
      <c r="E19" s="1">
        <v>3400</v>
      </c>
      <c r="F19" s="1">
        <v>4100</v>
      </c>
      <c r="G19" s="1">
        <v>4800</v>
      </c>
      <c r="H19" s="1">
        <v>5500</v>
      </c>
      <c r="I19" s="1">
        <v>6200</v>
      </c>
      <c r="J19" s="1">
        <v>6900</v>
      </c>
      <c r="K19" s="1">
        <v>7600</v>
      </c>
    </row>
    <row r="20" spans="1:11" x14ac:dyDescent="0.3">
      <c r="A20" s="22">
        <v>0.8</v>
      </c>
      <c r="B20" s="1">
        <v>1200</v>
      </c>
      <c r="C20" s="1">
        <v>2000</v>
      </c>
      <c r="D20" s="1">
        <v>2800</v>
      </c>
      <c r="E20" s="1">
        <v>3600</v>
      </c>
      <c r="F20" s="1">
        <v>4400</v>
      </c>
      <c r="G20" s="1">
        <v>5200</v>
      </c>
      <c r="H20" s="1">
        <v>6000</v>
      </c>
      <c r="I20" s="1">
        <v>6800</v>
      </c>
      <c r="J20" s="1">
        <v>7600</v>
      </c>
      <c r="K20" s="1">
        <v>8400</v>
      </c>
    </row>
    <row r="21" spans="1:11" x14ac:dyDescent="0.3">
      <c r="A21" s="22">
        <v>0.9</v>
      </c>
      <c r="B21" s="1">
        <v>1100</v>
      </c>
      <c r="C21" s="1">
        <v>2000</v>
      </c>
      <c r="D21" s="1">
        <v>2900</v>
      </c>
      <c r="E21" s="1">
        <v>3800</v>
      </c>
      <c r="F21" s="1">
        <v>4700</v>
      </c>
      <c r="G21" s="1">
        <v>5600</v>
      </c>
      <c r="H21" s="1">
        <v>6500</v>
      </c>
      <c r="I21" s="1">
        <v>7400</v>
      </c>
      <c r="J21" s="1">
        <v>8300</v>
      </c>
      <c r="K21" s="1">
        <v>9200</v>
      </c>
    </row>
    <row r="22" spans="1:11" x14ac:dyDescent="0.3">
      <c r="A22" s="22">
        <v>1</v>
      </c>
      <c r="B22" s="1">
        <v>1000</v>
      </c>
      <c r="C22" s="1">
        <v>2000</v>
      </c>
      <c r="D22" s="1">
        <v>3000</v>
      </c>
      <c r="E22" s="1">
        <v>4000</v>
      </c>
      <c r="F22" s="1">
        <v>5000</v>
      </c>
      <c r="G22" s="1">
        <v>6000</v>
      </c>
      <c r="H22" s="1">
        <v>7000</v>
      </c>
      <c r="I22" s="1">
        <v>8000</v>
      </c>
      <c r="J22" s="1">
        <v>9000</v>
      </c>
      <c r="K22" s="1">
        <v>10000</v>
      </c>
    </row>
  </sheetData>
  <mergeCells count="1">
    <mergeCell ref="B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B2DE-4C67-4B99-A392-0347BBE5B9D6}">
  <dimension ref="A1:O13"/>
  <sheetViews>
    <sheetView workbookViewId="0">
      <selection activeCell="K3" sqref="K3"/>
    </sheetView>
  </sheetViews>
  <sheetFormatPr defaultRowHeight="14.4" x14ac:dyDescent="0.3"/>
  <cols>
    <col min="1" max="1" width="15.6640625" bestFit="1" customWidth="1"/>
    <col min="2" max="2" width="27" bestFit="1" customWidth="1"/>
    <col min="3" max="3" width="9.44140625" bestFit="1" customWidth="1"/>
    <col min="6" max="6" width="8" bestFit="1" customWidth="1"/>
    <col min="7" max="7" width="9.44140625" bestFit="1" customWidth="1"/>
    <col min="10" max="10" width="11.6640625" bestFit="1" customWidth="1"/>
    <col min="11" max="11" width="10.44140625" bestFit="1" customWidth="1"/>
    <col min="14" max="14" width="4" bestFit="1" customWidth="1"/>
    <col min="15" max="15" width="10.44140625" bestFit="1" customWidth="1"/>
  </cols>
  <sheetData>
    <row r="1" spans="1:15" x14ac:dyDescent="0.3">
      <c r="A1" t="s">
        <v>5</v>
      </c>
      <c r="B1" t="s">
        <v>6</v>
      </c>
      <c r="G1" s="1">
        <f>C8</f>
        <v>3800</v>
      </c>
      <c r="J1" t="s">
        <v>30</v>
      </c>
      <c r="K1" s="1">
        <v>500</v>
      </c>
      <c r="O1" s="1">
        <f>K5</f>
        <v>20000</v>
      </c>
    </row>
    <row r="2" spans="1:15" x14ac:dyDescent="0.3">
      <c r="A2">
        <v>100</v>
      </c>
      <c r="B2" s="13">
        <v>0.6</v>
      </c>
      <c r="F2" s="22">
        <v>0.1</v>
      </c>
      <c r="G2">
        <f t="dataTable" ref="G2:G11" dt2D="0" dtr="0" r1="B2"/>
        <v>2300</v>
      </c>
      <c r="J2" t="s">
        <v>31</v>
      </c>
      <c r="K2" s="1">
        <v>300</v>
      </c>
      <c r="N2">
        <v>10</v>
      </c>
      <c r="O2" s="1">
        <f t="dataTable" ref="O2:O13" dt2D="0" dtr="0" r1="K3"/>
        <v>2000</v>
      </c>
    </row>
    <row r="3" spans="1:15" x14ac:dyDescent="0.3">
      <c r="F3" s="22">
        <v>0.2</v>
      </c>
      <c r="G3">
        <v>2600</v>
      </c>
      <c r="J3" t="s">
        <v>32</v>
      </c>
      <c r="K3" s="23">
        <v>100</v>
      </c>
      <c r="N3">
        <v>20</v>
      </c>
      <c r="O3" s="1">
        <v>4000</v>
      </c>
    </row>
    <row r="4" spans="1:15" x14ac:dyDescent="0.3">
      <c r="B4" t="s">
        <v>0</v>
      </c>
      <c r="C4" t="s">
        <v>3</v>
      </c>
      <c r="F4" s="22">
        <v>0.3</v>
      </c>
      <c r="G4">
        <v>2900</v>
      </c>
      <c r="N4">
        <v>30</v>
      </c>
      <c r="O4" s="1">
        <v>6000</v>
      </c>
    </row>
    <row r="5" spans="1:15" x14ac:dyDescent="0.3">
      <c r="A5" t="s">
        <v>1</v>
      </c>
      <c r="B5" s="16">
        <f>B2*A2</f>
        <v>60</v>
      </c>
      <c r="C5" s="1">
        <v>50</v>
      </c>
      <c r="F5" s="22">
        <v>0.4</v>
      </c>
      <c r="G5">
        <v>3200</v>
      </c>
      <c r="J5" t="s">
        <v>33</v>
      </c>
      <c r="K5" s="14">
        <f>(K1-K2)*K3</f>
        <v>20000</v>
      </c>
      <c r="N5">
        <v>40</v>
      </c>
      <c r="O5" s="1">
        <v>8000</v>
      </c>
    </row>
    <row r="6" spans="1:15" x14ac:dyDescent="0.3">
      <c r="A6" t="s">
        <v>2</v>
      </c>
      <c r="B6" s="16">
        <f>(1-B2)*A2</f>
        <v>40</v>
      </c>
      <c r="C6" s="1">
        <v>20</v>
      </c>
      <c r="F6" s="22">
        <v>0.5</v>
      </c>
      <c r="G6">
        <v>3500</v>
      </c>
      <c r="N6">
        <v>50</v>
      </c>
      <c r="O6" s="1">
        <v>10000</v>
      </c>
    </row>
    <row r="7" spans="1:15" x14ac:dyDescent="0.3">
      <c r="F7" s="22">
        <v>0.6</v>
      </c>
      <c r="G7">
        <v>3800</v>
      </c>
      <c r="N7">
        <v>60</v>
      </c>
      <c r="O7" s="1">
        <v>12000</v>
      </c>
    </row>
    <row r="8" spans="1:15" x14ac:dyDescent="0.3">
      <c r="B8" t="s">
        <v>4</v>
      </c>
      <c r="C8" s="14">
        <f>SUM(B5*C5,B6*C6)</f>
        <v>3800</v>
      </c>
      <c r="F8" s="22">
        <v>0.7</v>
      </c>
      <c r="G8">
        <v>4100</v>
      </c>
      <c r="N8">
        <v>70</v>
      </c>
      <c r="O8" s="1">
        <v>14000</v>
      </c>
    </row>
    <row r="9" spans="1:15" x14ac:dyDescent="0.3">
      <c r="F9" s="22">
        <v>0.8</v>
      </c>
      <c r="G9">
        <v>4400</v>
      </c>
      <c r="N9">
        <v>80</v>
      </c>
      <c r="O9" s="1">
        <v>16000</v>
      </c>
    </row>
    <row r="10" spans="1:15" x14ac:dyDescent="0.3">
      <c r="F10" s="22">
        <v>0.9</v>
      </c>
      <c r="G10">
        <v>4700</v>
      </c>
      <c r="N10">
        <v>90</v>
      </c>
      <c r="O10" s="1">
        <v>18000</v>
      </c>
    </row>
    <row r="11" spans="1:15" x14ac:dyDescent="0.3">
      <c r="F11" s="22">
        <v>1</v>
      </c>
      <c r="G11">
        <v>5000</v>
      </c>
      <c r="N11">
        <v>100</v>
      </c>
      <c r="O11" s="1">
        <v>20000</v>
      </c>
    </row>
    <row r="12" spans="1:15" x14ac:dyDescent="0.3">
      <c r="N12">
        <v>110</v>
      </c>
      <c r="O12" s="1">
        <v>22000</v>
      </c>
    </row>
    <row r="13" spans="1:15" x14ac:dyDescent="0.3">
      <c r="N13">
        <v>120</v>
      </c>
      <c r="O13" s="1">
        <v>24000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6432-1D40-4DD6-AC66-679A97439D55}">
  <sheetPr>
    <outlinePr summaryBelow="0"/>
  </sheetPr>
  <dimension ref="B1:F11"/>
  <sheetViews>
    <sheetView showGridLines="0" workbookViewId="0">
      <selection activeCell="J13" sqref="J13"/>
    </sheetView>
  </sheetViews>
  <sheetFormatPr defaultRowHeight="14.4" outlineLevelRow="1" outlineLevelCol="1" x14ac:dyDescent="0.3"/>
  <cols>
    <col min="3" max="3" width="19.5546875" bestFit="1" customWidth="1"/>
    <col min="4" max="6" width="13.109375" bestFit="1" customWidth="1" outlineLevel="1"/>
  </cols>
  <sheetData>
    <row r="1" spans="2:6" ht="15" thickBot="1" x14ac:dyDescent="0.35"/>
    <row r="2" spans="2:6" ht="15.6" x14ac:dyDescent="0.3">
      <c r="B2" s="5" t="s">
        <v>10</v>
      </c>
      <c r="C2" s="5"/>
      <c r="D2" s="10"/>
      <c r="E2" s="10"/>
      <c r="F2" s="10"/>
    </row>
    <row r="3" spans="2:6" ht="15.6" collapsed="1" x14ac:dyDescent="0.3">
      <c r="B3" s="4"/>
      <c r="C3" s="4"/>
      <c r="D3" s="11" t="s">
        <v>12</v>
      </c>
      <c r="E3" s="11" t="s">
        <v>7</v>
      </c>
      <c r="F3" s="11" t="s">
        <v>9</v>
      </c>
    </row>
    <row r="4" spans="2:6" ht="20.399999999999999" hidden="1" outlineLevel="1" x14ac:dyDescent="0.3">
      <c r="B4" s="7"/>
      <c r="C4" s="7"/>
      <c r="E4" s="12" t="s">
        <v>8</v>
      </c>
      <c r="F4" s="12" t="s">
        <v>8</v>
      </c>
    </row>
    <row r="5" spans="2:6" x14ac:dyDescent="0.3">
      <c r="B5" s="8" t="s">
        <v>11</v>
      </c>
      <c r="C5" s="8"/>
      <c r="D5" s="6"/>
      <c r="E5" s="6"/>
      <c r="F5" s="6"/>
    </row>
    <row r="6" spans="2:6" outlineLevel="1" x14ac:dyDescent="0.3">
      <c r="B6" s="7"/>
      <c r="C6" s="7" t="s">
        <v>17</v>
      </c>
      <c r="D6" s="2">
        <v>0.6</v>
      </c>
      <c r="E6" s="15">
        <v>0.7</v>
      </c>
      <c r="F6" s="15">
        <v>0.1</v>
      </c>
    </row>
    <row r="7" spans="2:6" x14ac:dyDescent="0.3">
      <c r="B7" s="8" t="s">
        <v>13</v>
      </c>
      <c r="C7" s="8"/>
      <c r="D7" s="6"/>
      <c r="E7" s="6"/>
      <c r="F7" s="6"/>
    </row>
    <row r="8" spans="2:6" ht="15" outlineLevel="1" thickBot="1" x14ac:dyDescent="0.35">
      <c r="B8" s="9"/>
      <c r="C8" s="9" t="s">
        <v>18</v>
      </c>
      <c r="D8" s="3">
        <v>3800</v>
      </c>
      <c r="E8" s="3">
        <v>4100</v>
      </c>
      <c r="F8" s="3">
        <v>2300</v>
      </c>
    </row>
    <row r="9" spans="2:6" x14ac:dyDescent="0.3">
      <c r="B9" t="s">
        <v>14</v>
      </c>
    </row>
    <row r="10" spans="2:6" x14ac:dyDescent="0.3">
      <c r="B10" t="s">
        <v>15</v>
      </c>
    </row>
    <row r="11" spans="2:6" x14ac:dyDescent="0.3">
      <c r="B1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C8" sqref="A1:C8"/>
    </sheetView>
  </sheetViews>
  <sheetFormatPr defaultRowHeight="14.4" x14ac:dyDescent="0.3"/>
  <cols>
    <col min="1" max="1" width="15.6640625" bestFit="1" customWidth="1"/>
    <col min="2" max="2" width="27" bestFit="1" customWidth="1"/>
    <col min="3" max="3" width="9.44140625" bestFit="1" customWidth="1"/>
    <col min="7" max="7" width="15.6640625" bestFit="1" customWidth="1"/>
    <col min="8" max="8" width="27" bestFit="1" customWidth="1"/>
    <col min="9" max="9" width="9.44140625" bestFit="1" customWidth="1"/>
  </cols>
  <sheetData>
    <row r="1" spans="1:9" x14ac:dyDescent="0.3">
      <c r="A1" t="s">
        <v>5</v>
      </c>
      <c r="B1" t="s">
        <v>6</v>
      </c>
      <c r="G1" t="s">
        <v>5</v>
      </c>
      <c r="H1" t="s">
        <v>6</v>
      </c>
    </row>
    <row r="2" spans="1:9" x14ac:dyDescent="0.3">
      <c r="A2">
        <v>100</v>
      </c>
      <c r="B2" s="13">
        <v>0.6</v>
      </c>
      <c r="G2">
        <v>100</v>
      </c>
      <c r="H2" s="13">
        <v>0.99999999999999967</v>
      </c>
    </row>
    <row r="4" spans="1:9" x14ac:dyDescent="0.3">
      <c r="B4" t="s">
        <v>0</v>
      </c>
      <c r="C4" t="s">
        <v>3</v>
      </c>
      <c r="H4" t="s">
        <v>0</v>
      </c>
      <c r="I4" t="s">
        <v>3</v>
      </c>
    </row>
    <row r="5" spans="1:9" x14ac:dyDescent="0.3">
      <c r="A5" t="s">
        <v>1</v>
      </c>
      <c r="B5" s="16">
        <f>B2*A2</f>
        <v>60</v>
      </c>
      <c r="C5" s="1">
        <v>50</v>
      </c>
      <c r="G5" t="s">
        <v>1</v>
      </c>
      <c r="H5" s="16">
        <f>H2*G2</f>
        <v>99.999999999999972</v>
      </c>
      <c r="I5" s="1">
        <v>50</v>
      </c>
    </row>
    <row r="6" spans="1:9" x14ac:dyDescent="0.3">
      <c r="A6" t="s">
        <v>2</v>
      </c>
      <c r="B6" s="16">
        <f>(1-B2)*A2</f>
        <v>40</v>
      </c>
      <c r="C6" s="1">
        <v>20</v>
      </c>
      <c r="G6" t="s">
        <v>2</v>
      </c>
      <c r="H6" s="16">
        <f>(1-H2)*G2</f>
        <v>3.3306690738754696E-14</v>
      </c>
      <c r="I6" s="1">
        <v>20</v>
      </c>
    </row>
    <row r="8" spans="1:9" x14ac:dyDescent="0.3">
      <c r="B8" t="s">
        <v>4</v>
      </c>
      <c r="C8" s="14">
        <f>SUM(B5*C5,B6*C6)</f>
        <v>3800</v>
      </c>
      <c r="H8" t="s">
        <v>4</v>
      </c>
      <c r="I8" s="14">
        <f>SUM(H5*I5,H6*I6)</f>
        <v>4999.9999999999991</v>
      </c>
    </row>
  </sheetData>
  <scenarios current="1" show="1" sqref="C8">
    <scenario name="70 percent" locked="1" count="1" user="Govind" comment="Created by Govind on 06-02-2026">
      <inputCells r="B2" val="0.7" numFmtId="9"/>
    </scenario>
    <scenario name="10 percent " locked="1" count="1" user="Govind" comment="Created by Govind on 06-02-2026">
      <inputCells r="B2" val="0.1" numFmtId="9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GoalSeek</vt:lpstr>
      <vt:lpstr>QuadraticEquation</vt:lpstr>
      <vt:lpstr>2varDataTable</vt:lpstr>
      <vt:lpstr>1varDataTable</vt:lpstr>
      <vt:lpstr>Scenario Summary</vt:lpstr>
      <vt:lpstr>WhatIfAnalysis</vt:lpstr>
      <vt:lpstr>sold_at_highest_price</vt:lpstr>
      <vt:lpstr>total_profit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govindparab09@outlook.com</cp:lastModifiedBy>
  <dcterms:created xsi:type="dcterms:W3CDTF">2015-06-05T18:17:20Z</dcterms:created>
  <dcterms:modified xsi:type="dcterms:W3CDTF">2026-02-06T14:51:46Z</dcterms:modified>
</cp:coreProperties>
</file>