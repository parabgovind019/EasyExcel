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7EC21219-53AC-45E1-AB99-72E4379CEF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lculated Field" sheetId="2" r:id="rId1"/>
    <sheet name="CalculatedField" sheetId="3" r:id="rId2"/>
    <sheet name="CalculatedItem" sheetId="4" r:id="rId3"/>
    <sheet name="OriginalData" sheetId="1" r:id="rId4"/>
  </sheets>
  <definedNames>
    <definedName name="_xlnm._FilterDatabase" localSheetId="3" hidden="1">OriginalData!$A$1:$F$214</definedName>
  </definedNames>
  <calcPr calcId="191029"/>
  <pivotCaches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<sst xmlns="http://schemas.openxmlformats.org/spreadsheetml/2006/main" count="686" uniqueCount="30">
  <si>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</si>
  <si>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</si>
  <si>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</si>
  <si>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</si>
  <si>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</si>
  <si>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</si>
  <si>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</si>
  <si>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</si>
  <si>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</si>
  <si>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</si>
  <si>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</si>
  <si>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</si>
  <si>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</si>
  <si>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</si>
  <si>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</si>
  <si>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</si>
  <si>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</si>
  <si>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</si>
  <si>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</si>
  <si>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</si>
  <si>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</si>
  <si>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</si>
  <si>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Row Labels</t>
  </si>
  <si>
    <t>Grand Total</t>
  </si>
  <si>
    <t>Sum of Amount</t>
  </si>
  <si>
    <t>Sum of Tax</t>
  </si>
  <si>
    <t>Oceania</t>
  </si>
  <si>
    <t>Group1</t>
  </si>
  <si>
    <t>Sales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</si>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</sst>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71026041666" createdVersion="6" refreshedVersion="8" minRefreshableVersion="3" recordCount="213" xr:uid="{00000000-000A-0000-FFFF-FFFF04000000}">
  <cacheSource type="worksheet">
    <worksheetSource ref="A1:F214" sheet="OriginalData"/>
  </cacheSource>
  <cacheFields count="8">
    <cacheField name="Order ID" numFmtId="0">
      <sharedItems containsSemiMixedTypes="0" containsString="0" containsNumber="1" containsInteger="1" minValue="1" maxValue="213"/>
    </cacheField>
    <cacheField name="Product" numFmtId="0">
      <sharedItems/>
    </cacheField>
    <cacheField name="Category" numFmtId="0">
      <sharedItems/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/>
    </cacheField>
    <cacheField name="Country" numFmtId="0">
      <sharedItems count="8">
        <s v="United States"/>
        <s v="United Kingdom"/>
        <s v="Canada"/>
        <s v="Germany"/>
        <s v="Australia"/>
        <s v="New Zealand"/>
        <s v="France"/>
        <s v="Oceania" f="1"/>
      </sharedItems>
      <fieldGroup par="7"/>
    </cacheField>
    <cacheField name="Tax" numFmtId="0" formula="IF(Amount&gt; 100000, 3%*Amount,0)" databaseField="0"/>
    <cacheField name="Country2" numFmtId="0" databaseField="0">
      <fieldGroup base="5">
        <discretePr count="8">
          <x v="1"/>
          <x v="1"/>
          <x v="1"/>
          <x v="1"/>
          <x v="1"/>
          <x v="1"/>
          <x v="1"/>
          <x v="0"/>
        </discretePr>
        <groupItems count="2">
          <s v="Oceania"/>
          <s v="Group1"/>
        </groupItems>
      </fieldGroup>
    </cacheField>
  </cacheFields>
  <calculatedItems count="1">
    <calculatedItem formula="ABS(Country[Australia]-Country['New Zealand'] )*3%">
      <pivotArea cacheIndex="1" outline="0" fieldPosition="0">
        <references count="1">
          <reference field="5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s v="Carrots"/>
    <s v="Vegetables"/>
    <n v="4270"/>
    <d v="2024-01-06T00:00:00"/>
    <x v="0"/>
  </r>
  <r>
    <n v="2"/>
    <s v="Broccoli"/>
    <s v="Vegetables"/>
    <n v="8239"/>
    <d v="2024-01-07T00:00:00"/>
    <x v="1"/>
  </r>
  <r>
    <n v="3"/>
    <s v="Banana"/>
    <s v="Fruit"/>
    <n v="617"/>
    <d v="2024-01-08T00:00:00"/>
    <x v="0"/>
  </r>
  <r>
    <n v="4"/>
    <s v="Banana"/>
    <s v="Fruit"/>
    <n v="8384"/>
    <d v="2024-01-10T00:00:00"/>
    <x v="2"/>
  </r>
  <r>
    <n v="5"/>
    <s v="Beans"/>
    <s v="Vegetables"/>
    <n v="2626"/>
    <d v="2024-01-10T00:00:00"/>
    <x v="3"/>
  </r>
  <r>
    <n v="6"/>
    <s v="Orange"/>
    <s v="Fruit"/>
    <n v="3610"/>
    <d v="2024-01-11T00:00:00"/>
    <x v="0"/>
  </r>
  <r>
    <n v="7"/>
    <s v="Broccoli"/>
    <s v="Vegetables"/>
    <n v="9062"/>
    <d v="2024-01-11T00:00:00"/>
    <x v="4"/>
  </r>
  <r>
    <n v="8"/>
    <s v="Banana"/>
    <s v="Fruit"/>
    <n v="6906"/>
    <d v="2024-01-16T00:00:00"/>
    <x v="5"/>
  </r>
  <r>
    <n v="9"/>
    <s v="Apple"/>
    <s v="Fruit"/>
    <n v="2417"/>
    <d v="2024-01-16T00:00:00"/>
    <x v="6"/>
  </r>
  <r>
    <n v="10"/>
    <s v="Apple"/>
    <s v="Fruit"/>
    <n v="7431"/>
    <d v="2024-01-16T00:00:00"/>
    <x v="2"/>
  </r>
  <r>
    <n v="11"/>
    <s v="Banana"/>
    <s v="Fruit"/>
    <n v="8250"/>
    <d v="2024-01-16T00:00:00"/>
    <x v="3"/>
  </r>
  <r>
    <n v="12"/>
    <s v="Broccoli"/>
    <s v="Vegetables"/>
    <n v="7012"/>
    <d v="2024-01-18T00:00:00"/>
    <x v="0"/>
  </r>
  <r>
    <n v="13"/>
    <s v="Carrots"/>
    <s v="Vegetables"/>
    <n v="1903"/>
    <d v="2024-01-20T00:00:00"/>
    <x v="3"/>
  </r>
  <r>
    <n v="14"/>
    <s v="Broccoli"/>
    <s v="Vegetables"/>
    <n v="2824"/>
    <d v="2024-01-22T00:00:00"/>
    <x v="2"/>
  </r>
  <r>
    <n v="15"/>
    <s v="Apple"/>
    <s v="Fruit"/>
    <n v="6946"/>
    <d v="2024-01-24T00:00:00"/>
    <x v="6"/>
  </r>
  <r>
    <n v="16"/>
    <s v="Banana"/>
    <s v="Fruit"/>
    <n v="2320"/>
    <d v="2024-01-27T00:00:00"/>
    <x v="1"/>
  </r>
  <r>
    <n v="17"/>
    <s v="Banana"/>
    <s v="Fruit"/>
    <n v="2116"/>
    <d v="2024-01-28T00:00:00"/>
    <x v="0"/>
  </r>
  <r>
    <n v="18"/>
    <s v="Banana"/>
    <s v="Fruit"/>
    <n v="1135"/>
    <d v="2024-01-30T00:00:00"/>
    <x v="1"/>
  </r>
  <r>
    <n v="19"/>
    <s v="Broccoli"/>
    <s v="Vegetables"/>
    <n v="3595"/>
    <d v="2024-01-30T00:00:00"/>
    <x v="1"/>
  </r>
  <r>
    <n v="20"/>
    <s v="Apple"/>
    <s v="Fruit"/>
    <n v="1161"/>
    <d v="2024-02-02T00:00:00"/>
    <x v="0"/>
  </r>
  <r>
    <n v="21"/>
    <s v="Orange"/>
    <s v="Fruit"/>
    <n v="2256"/>
    <d v="2024-02-04T00:00:00"/>
    <x v="6"/>
  </r>
  <r>
    <n v="22"/>
    <s v="Banana"/>
    <s v="Fruit"/>
    <n v="1004"/>
    <d v="2024-02-11T00:00:00"/>
    <x v="5"/>
  </r>
  <r>
    <n v="23"/>
    <s v="Banana"/>
    <s v="Fruit"/>
    <n v="3642"/>
    <d v="2024-02-14T00:00:00"/>
    <x v="2"/>
  </r>
  <r>
    <n v="24"/>
    <s v="Banana"/>
    <s v="Fruit"/>
    <n v="4582"/>
    <d v="2024-02-17T00:00:00"/>
    <x v="0"/>
  </r>
  <r>
    <n v="25"/>
    <s v="Beans"/>
    <s v="Vegetables"/>
    <n v="3559"/>
    <d v="2024-02-17T00:00:00"/>
    <x v="1"/>
  </r>
  <r>
    <n v="26"/>
    <s v="Carrots"/>
    <s v="Vegetables"/>
    <n v="5154"/>
    <d v="2024-02-17T00:00:00"/>
    <x v="4"/>
  </r>
  <r>
    <n v="27"/>
    <s v="Mango"/>
    <s v="Fruit"/>
    <n v="7388"/>
    <d v="2024-02-18T00:00:00"/>
    <x v="6"/>
  </r>
  <r>
    <n v="28"/>
    <s v="Beans"/>
    <s v="Vegetables"/>
    <n v="7163"/>
    <d v="2024-02-18T00:00:00"/>
    <x v="0"/>
  </r>
  <r>
    <n v="29"/>
    <s v="Beans"/>
    <s v="Vegetables"/>
    <n v="5101"/>
    <d v="2024-02-20T00:00:00"/>
    <x v="3"/>
  </r>
  <r>
    <n v="30"/>
    <s v="Apple"/>
    <s v="Fruit"/>
    <n v="7602"/>
    <d v="2024-02-21T00:00:00"/>
    <x v="6"/>
  </r>
  <r>
    <n v="31"/>
    <s v="Mango"/>
    <s v="Fruit"/>
    <n v="1641"/>
    <d v="2024-02-22T00:00:00"/>
    <x v="0"/>
  </r>
  <r>
    <n v="32"/>
    <s v="Apple"/>
    <s v="Fruit"/>
    <n v="8892"/>
    <d v="2024-02-23T00:00:00"/>
    <x v="4"/>
  </r>
  <r>
    <n v="33"/>
    <s v="Apple"/>
    <s v="Fruit"/>
    <n v="2060"/>
    <d v="2024-02-29T00:00:00"/>
    <x v="6"/>
  </r>
  <r>
    <n v="34"/>
    <s v="Broccoli"/>
    <s v="Vegetables"/>
    <n v="1557"/>
    <d v="2024-02-29T00:00:00"/>
    <x v="3"/>
  </r>
  <r>
    <n v="35"/>
    <s v="Apple"/>
    <s v="Fruit"/>
    <n v="6509"/>
    <d v="2024-03-01T00:00:00"/>
    <x v="6"/>
  </r>
  <r>
    <n v="36"/>
    <s v="Apple"/>
    <s v="Fruit"/>
    <n v="5718"/>
    <d v="2024-03-04T00:00:00"/>
    <x v="4"/>
  </r>
  <r>
    <n v="37"/>
    <s v="Apple"/>
    <s v="Fruit"/>
    <n v="7655"/>
    <d v="2024-03-05T00:00:00"/>
    <x v="0"/>
  </r>
  <r>
    <n v="38"/>
    <s v="Carrots"/>
    <s v="Vegetables"/>
    <n v="9116"/>
    <d v="2024-03-05T00:00:00"/>
    <x v="1"/>
  </r>
  <r>
    <n v="39"/>
    <s v="Banana"/>
    <s v="Fruit"/>
    <n v="2795"/>
    <d v="2024-03-15T00:00:00"/>
    <x v="0"/>
  </r>
  <r>
    <n v="40"/>
    <s v="Banana"/>
    <s v="Fruit"/>
    <n v="5084"/>
    <d v="2024-03-15T00:00:00"/>
    <x v="0"/>
  </r>
  <r>
    <n v="41"/>
    <s v="Carrots"/>
    <s v="Vegetables"/>
    <n v="8941"/>
    <d v="2024-03-15T00:00:00"/>
    <x v="1"/>
  </r>
  <r>
    <n v="42"/>
    <s v="Broccoli"/>
    <s v="Vegetables"/>
    <n v="5341"/>
    <d v="2024-03-16T00:00:00"/>
    <x v="6"/>
  </r>
  <r>
    <n v="43"/>
    <s v="Banana"/>
    <s v="Fruit"/>
    <n v="135"/>
    <d v="2024-03-19T00:00:00"/>
    <x v="2"/>
  </r>
  <r>
    <n v="44"/>
    <s v="Banana"/>
    <s v="Fruit"/>
    <n v="9400"/>
    <d v="2024-03-19T00:00:00"/>
    <x v="4"/>
  </r>
  <r>
    <n v="45"/>
    <s v="Beans"/>
    <s v="Vegetables"/>
    <n v="6045"/>
    <d v="2024-03-21T00:00:00"/>
    <x v="3"/>
  </r>
  <r>
    <n v="46"/>
    <s v="Apple"/>
    <s v="Fruit"/>
    <n v="5820"/>
    <d v="2024-03-22T00:00:00"/>
    <x v="5"/>
  </r>
  <r>
    <n v="47"/>
    <s v="Orange"/>
    <s v="Fruit"/>
    <n v="8887"/>
    <d v="2024-03-23T00:00:00"/>
    <x v="3"/>
  </r>
  <r>
    <n v="48"/>
    <s v="Orange"/>
    <s v="Fruit"/>
    <n v="6982"/>
    <d v="2024-03-24T00:00:00"/>
    <x v="0"/>
  </r>
  <r>
    <n v="49"/>
    <s v="Banana"/>
    <s v="Fruit"/>
    <n v="4029"/>
    <d v="2024-03-26T00:00:00"/>
    <x v="4"/>
  </r>
  <r>
    <n v="50"/>
    <s v="Carrots"/>
    <s v="Vegetables"/>
    <n v="3665"/>
    <d v="2024-03-26T00:00:00"/>
    <x v="3"/>
  </r>
  <r>
    <n v="51"/>
    <s v="Banana"/>
    <s v="Fruit"/>
    <n v="4781"/>
    <d v="2024-03-29T00:00:00"/>
    <x v="6"/>
  </r>
  <r>
    <n v="52"/>
    <s v="Mango"/>
    <s v="Fruit"/>
    <n v="3663"/>
    <d v="2024-03-30T00:00:00"/>
    <x v="4"/>
  </r>
  <r>
    <n v="53"/>
    <s v="Apple"/>
    <s v="Fruit"/>
    <n v="6331"/>
    <d v="2024-04-01T00:00:00"/>
    <x v="6"/>
  </r>
  <r>
    <n v="54"/>
    <s v="Apple"/>
    <s v="Fruit"/>
    <n v="4364"/>
    <d v="2024-04-01T00:00:00"/>
    <x v="2"/>
  </r>
  <r>
    <n v="55"/>
    <s v="Carrots"/>
    <s v="Vegetables"/>
    <n v="607"/>
    <d v="2024-04-03T00:00:00"/>
    <x v="1"/>
  </r>
  <r>
    <n v="56"/>
    <s v="Banana"/>
    <s v="Fruit"/>
    <n v="1054"/>
    <d v="2024-04-06T00:00:00"/>
    <x v="5"/>
  </r>
  <r>
    <n v="57"/>
    <s v="Carrots"/>
    <s v="Vegetables"/>
    <n v="7659"/>
    <d v="2024-04-06T00:00:00"/>
    <x v="0"/>
  </r>
  <r>
    <n v="58"/>
    <s v="Broccoli"/>
    <s v="Vegetables"/>
    <n v="277"/>
    <d v="2024-04-12T00:00:00"/>
    <x v="3"/>
  </r>
  <r>
    <n v="59"/>
    <s v="Banana"/>
    <s v="Fruit"/>
    <n v="235"/>
    <d v="2024-04-17T00:00:00"/>
    <x v="0"/>
  </r>
  <r>
    <n v="60"/>
    <s v="Orange"/>
    <s v="Fruit"/>
    <n v="1113"/>
    <d v="2024-04-18T00:00:00"/>
    <x v="4"/>
  </r>
  <r>
    <n v="61"/>
    <s v="Apple"/>
    <s v="Fruit"/>
    <n v="1128"/>
    <d v="2024-04-21T00:00:00"/>
    <x v="0"/>
  </r>
  <r>
    <n v="62"/>
    <s v="Broccoli"/>
    <s v="Vegetables"/>
    <n v="9231"/>
    <d v="2024-04-22T00:00:00"/>
    <x v="2"/>
  </r>
  <r>
    <n v="63"/>
    <s v="Banana"/>
    <s v="Fruit"/>
    <n v="4387"/>
    <d v="2024-04-23T00:00:00"/>
    <x v="0"/>
  </r>
  <r>
    <n v="64"/>
    <s v="Apple"/>
    <s v="Fruit"/>
    <n v="2763"/>
    <d v="2024-04-25T00:00:00"/>
    <x v="2"/>
  </r>
  <r>
    <n v="65"/>
    <s v="Banana"/>
    <s v="Fruit"/>
    <n v="7898"/>
    <d v="2024-04-27T00:00:00"/>
    <x v="1"/>
  </r>
  <r>
    <n v="66"/>
    <s v="Banana"/>
    <s v="Fruit"/>
    <n v="2427"/>
    <d v="2024-04-30T00:00:00"/>
    <x v="6"/>
  </r>
  <r>
    <n v="67"/>
    <s v="Banana"/>
    <s v="Fruit"/>
    <n v="8663"/>
    <d v="2024-05-01T00:00:00"/>
    <x v="5"/>
  </r>
  <r>
    <n v="68"/>
    <s v="Carrots"/>
    <s v="Vegetables"/>
    <n v="2789"/>
    <d v="2024-05-01T00:00:00"/>
    <x v="3"/>
  </r>
  <r>
    <n v="69"/>
    <s v="Banana"/>
    <s v="Fruit"/>
    <n v="4054"/>
    <d v="2024-05-02T00:00:00"/>
    <x v="0"/>
  </r>
  <r>
    <n v="70"/>
    <s v="Mango"/>
    <s v="Fruit"/>
    <n v="2262"/>
    <d v="2024-05-02T00:00:00"/>
    <x v="0"/>
  </r>
  <r>
    <n v="71"/>
    <s v="Mango"/>
    <s v="Fruit"/>
    <n v="5600"/>
    <d v="2024-05-02T00:00:00"/>
    <x v="1"/>
  </r>
  <r>
    <n v="72"/>
    <s v="Banana"/>
    <s v="Fruit"/>
    <n v="5787"/>
    <d v="2024-05-03T00:00:00"/>
    <x v="0"/>
  </r>
  <r>
    <n v="73"/>
    <s v="Orange"/>
    <s v="Fruit"/>
    <n v="6295"/>
    <d v="2024-05-03T00:00:00"/>
    <x v="2"/>
  </r>
  <r>
    <n v="74"/>
    <s v="Banana"/>
    <s v="Fruit"/>
    <n v="474"/>
    <d v="2024-05-05T00:00:00"/>
    <x v="3"/>
  </r>
  <r>
    <n v="75"/>
    <s v="Apple"/>
    <s v="Fruit"/>
    <n v="4325"/>
    <d v="2024-05-05T00:00:00"/>
    <x v="6"/>
  </r>
  <r>
    <n v="76"/>
    <s v="Banana"/>
    <s v="Fruit"/>
    <n v="592"/>
    <d v="2024-05-06T00:00:00"/>
    <x v="0"/>
  </r>
  <r>
    <n v="77"/>
    <s v="Orange"/>
    <s v="Fruit"/>
    <n v="4330"/>
    <d v="2024-05-08T00:00:00"/>
    <x v="0"/>
  </r>
  <r>
    <n v="78"/>
    <s v="Banana"/>
    <s v="Fruit"/>
    <n v="9405"/>
    <d v="2024-05-08T00:00:00"/>
    <x v="1"/>
  </r>
  <r>
    <n v="79"/>
    <s v="Apple"/>
    <s v="Fruit"/>
    <n v="7671"/>
    <d v="2024-05-08T00:00:00"/>
    <x v="6"/>
  </r>
  <r>
    <n v="80"/>
    <s v="Carrots"/>
    <s v="Vegetables"/>
    <n v="5791"/>
    <d v="2024-05-08T00:00:00"/>
    <x v="1"/>
  </r>
  <r>
    <n v="81"/>
    <s v="Banana"/>
    <s v="Fruit"/>
    <n v="6007"/>
    <d v="2024-05-12T00:00:00"/>
    <x v="2"/>
  </r>
  <r>
    <n v="82"/>
    <s v="Banana"/>
    <s v="Fruit"/>
    <n v="5030"/>
    <d v="2024-05-14T00:00:00"/>
    <x v="3"/>
  </r>
  <r>
    <n v="83"/>
    <s v="Carrots"/>
    <s v="Vegetables"/>
    <n v="6763"/>
    <d v="2024-05-14T00:00:00"/>
    <x v="1"/>
  </r>
  <r>
    <n v="84"/>
    <s v="Banana"/>
    <s v="Fruit"/>
    <n v="4248"/>
    <d v="2024-05-15T00:00:00"/>
    <x v="4"/>
  </r>
  <r>
    <n v="85"/>
    <s v="Banana"/>
    <s v="Fruit"/>
    <n v="9543"/>
    <d v="2024-05-16T00:00:00"/>
    <x v="6"/>
  </r>
  <r>
    <n v="86"/>
    <s v="Broccoli"/>
    <s v="Vegetables"/>
    <n v="2054"/>
    <d v="2024-05-16T00:00:00"/>
    <x v="1"/>
  </r>
  <r>
    <n v="87"/>
    <s v="Beans"/>
    <s v="Vegetables"/>
    <n v="7094"/>
    <d v="2024-05-16T00:00:00"/>
    <x v="3"/>
  </r>
  <r>
    <n v="88"/>
    <s v="Carrots"/>
    <s v="Vegetables"/>
    <n v="6087"/>
    <d v="2024-05-18T00:00:00"/>
    <x v="0"/>
  </r>
  <r>
    <n v="89"/>
    <s v="Apple"/>
    <s v="Fruit"/>
    <n v="4264"/>
    <d v="2024-05-19T00:00:00"/>
    <x v="4"/>
  </r>
  <r>
    <n v="90"/>
    <s v="Mango"/>
    <s v="Fruit"/>
    <n v="9333"/>
    <d v="2024-05-20T00:00:00"/>
    <x v="0"/>
  </r>
  <r>
    <n v="91"/>
    <s v="Mango"/>
    <s v="Fruit"/>
    <n v="8775"/>
    <d v="2024-05-22T00:00:00"/>
    <x v="3"/>
  </r>
  <r>
    <n v="92"/>
    <s v="Broccoli"/>
    <s v="Vegetables"/>
    <n v="2011"/>
    <d v="2024-05-23T00:00:00"/>
    <x v="1"/>
  </r>
  <r>
    <n v="93"/>
    <s v="Banana"/>
    <s v="Fruit"/>
    <n v="5632"/>
    <d v="2024-05-25T00:00:00"/>
    <x v="0"/>
  </r>
  <r>
    <n v="94"/>
    <s v="Banana"/>
    <s v="Fruit"/>
    <n v="4904"/>
    <d v="2024-05-25T00:00:00"/>
    <x v="5"/>
  </r>
  <r>
    <n v="95"/>
    <s v="Beans"/>
    <s v="Vegetables"/>
    <n v="1002"/>
    <d v="2024-05-25T00:00:00"/>
    <x v="4"/>
  </r>
  <r>
    <n v="96"/>
    <s v="Orange"/>
    <s v="Fruit"/>
    <n v="8141"/>
    <d v="2024-05-26T00:00:00"/>
    <x v="1"/>
  </r>
  <r>
    <n v="97"/>
    <s v="Orange"/>
    <s v="Fruit"/>
    <n v="3644"/>
    <d v="2024-05-26T00:00:00"/>
    <x v="2"/>
  </r>
  <r>
    <n v="98"/>
    <s v="Orange"/>
    <s v="Fruit"/>
    <n v="1380"/>
    <d v="2024-05-26T00:00:00"/>
    <x v="4"/>
  </r>
  <r>
    <n v="99"/>
    <s v="Broccoli"/>
    <s v="Vegetables"/>
    <n v="8354"/>
    <d v="2024-05-26T00:00:00"/>
    <x v="3"/>
  </r>
  <r>
    <n v="100"/>
    <s v="Banana"/>
    <s v="Fruit"/>
    <n v="5182"/>
    <d v="2024-05-27T00:00:00"/>
    <x v="0"/>
  </r>
  <r>
    <n v="101"/>
    <s v="Apple"/>
    <s v="Fruit"/>
    <n v="2193"/>
    <d v="2024-05-27T00:00:00"/>
    <x v="6"/>
  </r>
  <r>
    <n v="102"/>
    <s v="Mango"/>
    <s v="Fruit"/>
    <n v="3647"/>
    <d v="2024-05-28T00:00:00"/>
    <x v="0"/>
  </r>
  <r>
    <n v="103"/>
    <s v="Apple"/>
    <s v="Fruit"/>
    <n v="4104"/>
    <d v="2024-05-28T00:00:00"/>
    <x v="0"/>
  </r>
  <r>
    <n v="104"/>
    <s v="Carrots"/>
    <s v="Vegetables"/>
    <n v="7457"/>
    <d v="2024-05-28T00:00:00"/>
    <x v="0"/>
  </r>
  <r>
    <n v="105"/>
    <s v="Mango"/>
    <s v="Fruit"/>
    <n v="3767"/>
    <d v="2024-05-29T00:00:00"/>
    <x v="2"/>
  </r>
  <r>
    <n v="106"/>
    <s v="Broccoli"/>
    <s v="Vegetables"/>
    <n v="4685"/>
    <d v="2024-05-30T00:00:00"/>
    <x v="3"/>
  </r>
  <r>
    <n v="107"/>
    <s v="Banana"/>
    <s v="Fruit"/>
    <n v="3917"/>
    <d v="2024-06-04T00:00:00"/>
    <x v="0"/>
  </r>
  <r>
    <n v="108"/>
    <s v="Apple"/>
    <s v="Fruit"/>
    <n v="521"/>
    <d v="2024-06-04T00:00:00"/>
    <x v="2"/>
  </r>
  <r>
    <n v="109"/>
    <s v="Apple"/>
    <s v="Fruit"/>
    <n v="5605"/>
    <d v="2024-06-10T00:00:00"/>
    <x v="6"/>
  </r>
  <r>
    <n v="110"/>
    <s v="Broccoli"/>
    <s v="Vegetables"/>
    <n v="9630"/>
    <d v="2024-06-11T00:00:00"/>
    <x v="3"/>
  </r>
  <r>
    <n v="111"/>
    <s v="Banana"/>
    <s v="Fruit"/>
    <n v="6941"/>
    <d v="2024-06-20T00:00:00"/>
    <x v="2"/>
  </r>
  <r>
    <n v="112"/>
    <s v="Broccoli"/>
    <s v="Vegetables"/>
    <n v="7231"/>
    <d v="2024-06-20T00:00:00"/>
    <x v="1"/>
  </r>
  <r>
    <n v="113"/>
    <s v="Broccoli"/>
    <s v="Vegetables"/>
    <n v="8891"/>
    <d v="2024-06-23T00:00:00"/>
    <x v="4"/>
  </r>
  <r>
    <n v="114"/>
    <s v="Banana"/>
    <s v="Fruit"/>
    <n v="107"/>
    <d v="2024-06-25T00:00:00"/>
    <x v="6"/>
  </r>
  <r>
    <n v="115"/>
    <s v="Banana"/>
    <s v="Fruit"/>
    <n v="4243"/>
    <d v="2024-06-26T00:00:00"/>
    <x v="0"/>
  </r>
  <r>
    <n v="116"/>
    <s v="Orange"/>
    <s v="Fruit"/>
    <n v="4514"/>
    <d v="2024-06-27T00:00:00"/>
    <x v="0"/>
  </r>
  <r>
    <n v="117"/>
    <s v="Mango"/>
    <s v="Fruit"/>
    <n v="5480"/>
    <d v="2024-07-02T00:00:00"/>
    <x v="0"/>
  </r>
  <r>
    <n v="118"/>
    <s v="Banana"/>
    <s v="Fruit"/>
    <n v="5002"/>
    <d v="2024-07-02T00:00:00"/>
    <x v="6"/>
  </r>
  <r>
    <n v="119"/>
    <s v="Banana"/>
    <s v="Fruit"/>
    <n v="8530"/>
    <d v="2024-07-05T00:00:00"/>
    <x v="2"/>
  </r>
  <r>
    <n v="120"/>
    <s v="Orange"/>
    <s v="Fruit"/>
    <n v="4819"/>
    <d v="2024-07-07T00:00:00"/>
    <x v="5"/>
  </r>
  <r>
    <n v="121"/>
    <s v="Broccoli"/>
    <s v="Vegetables"/>
    <n v="6343"/>
    <d v="2024-07-11T00:00:00"/>
    <x v="1"/>
  </r>
  <r>
    <n v="122"/>
    <s v="Orange"/>
    <s v="Fruit"/>
    <n v="2318"/>
    <d v="2024-07-13T00:00:00"/>
    <x v="1"/>
  </r>
  <r>
    <n v="123"/>
    <s v="Orange"/>
    <s v="Fruit"/>
    <n v="220"/>
    <d v="2024-07-20T00:00:00"/>
    <x v="1"/>
  </r>
  <r>
    <n v="124"/>
    <s v="Orange"/>
    <s v="Fruit"/>
    <n v="6341"/>
    <d v="2024-07-20T00:00:00"/>
    <x v="5"/>
  </r>
  <r>
    <n v="125"/>
    <s v="Apple"/>
    <s v="Fruit"/>
    <n v="330"/>
    <d v="2024-07-20T00:00:00"/>
    <x v="3"/>
  </r>
  <r>
    <n v="126"/>
    <s v="Broccoli"/>
    <s v="Vegetables"/>
    <n v="3027"/>
    <d v="2024-07-20T00:00:00"/>
    <x v="1"/>
  </r>
  <r>
    <n v="127"/>
    <s v="Orange"/>
    <s v="Fruit"/>
    <n v="850"/>
    <d v="2024-07-22T00:00:00"/>
    <x v="5"/>
  </r>
  <r>
    <n v="128"/>
    <s v="Banana"/>
    <s v="Fruit"/>
    <n v="8986"/>
    <d v="2024-07-23T00:00:00"/>
    <x v="1"/>
  </r>
  <r>
    <n v="129"/>
    <s v="Broccoli"/>
    <s v="Vegetables"/>
    <n v="3800"/>
    <d v="2024-07-25T00:00:00"/>
    <x v="0"/>
  </r>
  <r>
    <n v="130"/>
    <s v="Carrots"/>
    <s v="Vegetables"/>
    <n v="5751"/>
    <d v="2024-07-28T00:00:00"/>
    <x v="1"/>
  </r>
  <r>
    <n v="131"/>
    <s v="Apple"/>
    <s v="Fruit"/>
    <n v="1704"/>
    <d v="2024-07-29T00:00:00"/>
    <x v="1"/>
  </r>
  <r>
    <n v="132"/>
    <s v="Banana"/>
    <s v="Fruit"/>
    <n v="7966"/>
    <d v="2024-07-30T00:00:00"/>
    <x v="4"/>
  </r>
  <r>
    <n v="133"/>
    <s v="Banana"/>
    <s v="Fruit"/>
    <n v="852"/>
    <d v="2024-07-31T00:00:00"/>
    <x v="0"/>
  </r>
  <r>
    <n v="134"/>
    <s v="Beans"/>
    <s v="Vegetables"/>
    <n v="8416"/>
    <d v="2024-07-31T00:00:00"/>
    <x v="4"/>
  </r>
  <r>
    <n v="135"/>
    <s v="Banana"/>
    <s v="Fruit"/>
    <n v="7144"/>
    <d v="2024-08-01T00:00:00"/>
    <x v="6"/>
  </r>
  <r>
    <n v="136"/>
    <s v="Broccoli"/>
    <s v="Vegetables"/>
    <n v="7854"/>
    <d v="2024-08-01T00:00:00"/>
    <x v="0"/>
  </r>
  <r>
    <n v="137"/>
    <s v="Orange"/>
    <s v="Fruit"/>
    <n v="859"/>
    <d v="2024-08-03T00:00:00"/>
    <x v="0"/>
  </r>
  <r>
    <n v="138"/>
    <s v="Broccoli"/>
    <s v="Vegetables"/>
    <n v="8049"/>
    <d v="2024-08-12T00:00:00"/>
    <x v="0"/>
  </r>
  <r>
    <n v="139"/>
    <s v="Banana"/>
    <s v="Fruit"/>
    <n v="2836"/>
    <d v="2024-08-13T00:00:00"/>
    <x v="3"/>
  </r>
  <r>
    <n v="140"/>
    <s v="Carrots"/>
    <s v="Vegetables"/>
    <n v="1743"/>
    <d v="2024-08-19T00:00:00"/>
    <x v="0"/>
  </r>
  <r>
    <n v="141"/>
    <s v="Apple"/>
    <s v="Fruit"/>
    <n v="3844"/>
    <d v="2024-08-23T00:00:00"/>
    <x v="6"/>
  </r>
  <r>
    <n v="142"/>
    <s v="Apple"/>
    <s v="Fruit"/>
    <n v="7490"/>
    <d v="2024-08-24T00:00:00"/>
    <x v="6"/>
  </r>
  <r>
    <n v="143"/>
    <s v="Broccoli"/>
    <s v="Vegetables"/>
    <n v="4483"/>
    <d v="2024-08-25T00:00:00"/>
    <x v="3"/>
  </r>
  <r>
    <n v="144"/>
    <s v="Apple"/>
    <s v="Fruit"/>
    <n v="7333"/>
    <d v="2024-08-27T00:00:00"/>
    <x v="2"/>
  </r>
  <r>
    <n v="145"/>
    <s v="Carrots"/>
    <s v="Vegetables"/>
    <n v="7654"/>
    <d v="2024-08-28T00:00:00"/>
    <x v="0"/>
  </r>
  <r>
    <n v="146"/>
    <s v="Apple"/>
    <s v="Fruit"/>
    <n v="3944"/>
    <d v="2024-08-29T00:00:00"/>
    <x v="1"/>
  </r>
  <r>
    <n v="147"/>
    <s v="Beans"/>
    <s v="Vegetables"/>
    <n v="5761"/>
    <d v="2024-08-29T00:00:00"/>
    <x v="3"/>
  </r>
  <r>
    <n v="148"/>
    <s v="Banana"/>
    <s v="Fruit"/>
    <n v="6864"/>
    <d v="2024-09-01T00:00:00"/>
    <x v="5"/>
  </r>
  <r>
    <n v="149"/>
    <s v="Banana"/>
    <s v="Fruit"/>
    <n v="4016"/>
    <d v="2024-09-01T00:00:00"/>
    <x v="3"/>
  </r>
  <r>
    <n v="150"/>
    <s v="Banana"/>
    <s v="Fruit"/>
    <n v="1841"/>
    <d v="2024-09-02T00:00:00"/>
    <x v="0"/>
  </r>
  <r>
    <n v="151"/>
    <s v="Banana"/>
    <s v="Fruit"/>
    <n v="424"/>
    <d v="2024-09-05T00:00:00"/>
    <x v="4"/>
  </r>
  <r>
    <n v="152"/>
    <s v="Banana"/>
    <s v="Fruit"/>
    <n v="8765"/>
    <d v="2024-09-07T00:00:00"/>
    <x v="1"/>
  </r>
  <r>
    <n v="153"/>
    <s v="Banana"/>
    <s v="Fruit"/>
    <n v="5583"/>
    <d v="2024-09-08T00:00:00"/>
    <x v="0"/>
  </r>
  <r>
    <n v="154"/>
    <s v="Broccoli"/>
    <s v="Vegetables"/>
    <n v="4390"/>
    <d v="2024-09-09T00:00:00"/>
    <x v="5"/>
  </r>
  <r>
    <n v="155"/>
    <s v="Broccoli"/>
    <s v="Vegetables"/>
    <n v="352"/>
    <d v="2024-09-09T00:00:00"/>
    <x v="2"/>
  </r>
  <r>
    <n v="156"/>
    <s v="Apple"/>
    <s v="Fruit"/>
    <n v="8489"/>
    <d v="2024-09-11T00:00:00"/>
    <x v="0"/>
  </r>
  <r>
    <n v="157"/>
    <s v="Banana"/>
    <s v="Fruit"/>
    <n v="7090"/>
    <d v="2024-09-11T00:00:00"/>
    <x v="6"/>
  </r>
  <r>
    <n v="158"/>
    <s v="Banana"/>
    <s v="Fruit"/>
    <n v="7880"/>
    <d v="2024-09-15T00:00:00"/>
    <x v="0"/>
  </r>
  <r>
    <n v="159"/>
    <s v="Orange"/>
    <s v="Fruit"/>
    <n v="3861"/>
    <d v="2024-09-18T00:00:00"/>
    <x v="0"/>
  </r>
  <r>
    <n v="160"/>
    <s v="Broccoli"/>
    <s v="Vegetables"/>
    <n v="7927"/>
    <d v="2024-09-19T00:00:00"/>
    <x v="3"/>
  </r>
  <r>
    <n v="161"/>
    <s v="Banana"/>
    <s v="Fruit"/>
    <n v="6162"/>
    <d v="2024-09-20T00:00:00"/>
    <x v="0"/>
  </r>
  <r>
    <n v="162"/>
    <s v="Mango"/>
    <s v="Fruit"/>
    <n v="5523"/>
    <d v="2024-09-25T00:00:00"/>
    <x v="4"/>
  </r>
  <r>
    <n v="163"/>
    <s v="Broccoli"/>
    <s v="Vegetables"/>
    <n v="5936"/>
    <d v="2024-09-25T00:00:00"/>
    <x v="1"/>
  </r>
  <r>
    <n v="164"/>
    <s v="Carrots"/>
    <s v="Vegetables"/>
    <n v="7251"/>
    <d v="2024-09-26T00:00:00"/>
    <x v="3"/>
  </r>
  <r>
    <n v="165"/>
    <s v="Orange"/>
    <s v="Fruit"/>
    <n v="6187"/>
    <d v="2024-09-27T00:00:00"/>
    <x v="4"/>
  </r>
  <r>
    <n v="166"/>
    <s v="Banana"/>
    <s v="Fruit"/>
    <n v="3210"/>
    <d v="2024-09-29T00:00:00"/>
    <x v="3"/>
  </r>
  <r>
    <n v="167"/>
    <s v="Carrots"/>
    <s v="Vegetables"/>
    <n v="682"/>
    <d v="2024-09-29T00:00:00"/>
    <x v="3"/>
  </r>
  <r>
    <n v="168"/>
    <s v="Banana"/>
    <s v="Fruit"/>
    <n v="793"/>
    <d v="2024-10-03T00:00:00"/>
    <x v="4"/>
  </r>
  <r>
    <n v="169"/>
    <s v="Carrots"/>
    <s v="Vegetables"/>
    <n v="5346"/>
    <d v="2024-10-04T00:00:00"/>
    <x v="3"/>
  </r>
  <r>
    <n v="170"/>
    <s v="Banana"/>
    <s v="Fruit"/>
    <n v="7103"/>
    <d v="2024-10-07T00:00:00"/>
    <x v="5"/>
  </r>
  <r>
    <n v="171"/>
    <s v="Carrots"/>
    <s v="Vegetables"/>
    <n v="4603"/>
    <d v="2024-10-10T00:00:00"/>
    <x v="0"/>
  </r>
  <r>
    <n v="172"/>
    <s v="Apple"/>
    <s v="Fruit"/>
    <n v="8160"/>
    <d v="2024-10-16T00:00:00"/>
    <x v="6"/>
  </r>
  <r>
    <n v="173"/>
    <s v="Apple"/>
    <s v="Fruit"/>
    <n v="7171"/>
    <d v="2024-10-23T00:00:00"/>
    <x v="1"/>
  </r>
  <r>
    <n v="174"/>
    <s v="Banana"/>
    <s v="Fruit"/>
    <n v="3552"/>
    <d v="2024-10-23T00:00:00"/>
    <x v="5"/>
  </r>
  <r>
    <n v="175"/>
    <s v="Banana"/>
    <s v="Fruit"/>
    <n v="7273"/>
    <d v="2024-10-25T00:00:00"/>
    <x v="4"/>
  </r>
  <r>
    <n v="176"/>
    <s v="Banana"/>
    <s v="Fruit"/>
    <n v="2402"/>
    <d v="2024-10-26T00:00:00"/>
    <x v="3"/>
  </r>
  <r>
    <n v="177"/>
    <s v="Banana"/>
    <s v="Fruit"/>
    <n v="1197"/>
    <d v="2024-10-26T00:00:00"/>
    <x v="4"/>
  </r>
  <r>
    <n v="178"/>
    <s v="Beans"/>
    <s v="Vegetables"/>
    <n v="5015"/>
    <d v="2024-10-26T00:00:00"/>
    <x v="4"/>
  </r>
  <r>
    <n v="179"/>
    <s v="Orange"/>
    <s v="Fruit"/>
    <n v="5818"/>
    <d v="2024-11-02T00:00:00"/>
    <x v="0"/>
  </r>
  <r>
    <n v="180"/>
    <s v="Banana"/>
    <s v="Fruit"/>
    <n v="4399"/>
    <d v="2024-11-03T00:00:00"/>
    <x v="1"/>
  </r>
  <r>
    <n v="181"/>
    <s v="Carrots"/>
    <s v="Vegetables"/>
    <n v="3011"/>
    <d v="2024-11-03T00:00:00"/>
    <x v="0"/>
  </r>
  <r>
    <n v="182"/>
    <s v="Apple"/>
    <s v="Fruit"/>
    <n v="4715"/>
    <d v="2024-11-09T00:00:00"/>
    <x v="1"/>
  </r>
  <r>
    <n v="183"/>
    <s v="Apple"/>
    <s v="Fruit"/>
    <n v="5321"/>
    <d v="2024-11-12T00:00:00"/>
    <x v="6"/>
  </r>
  <r>
    <n v="184"/>
    <s v="Banana"/>
    <s v="Fruit"/>
    <n v="8894"/>
    <d v="2024-11-15T00:00:00"/>
    <x v="0"/>
  </r>
  <r>
    <n v="185"/>
    <s v="Carrots"/>
    <s v="Vegetables"/>
    <n v="4846"/>
    <d v="2024-11-25T00:00:00"/>
    <x v="1"/>
  </r>
  <r>
    <n v="186"/>
    <s v="Broccoli"/>
    <s v="Vegetables"/>
    <n v="284"/>
    <d v="2024-11-25T00:00:00"/>
    <x v="3"/>
  </r>
  <r>
    <n v="187"/>
    <s v="Orange"/>
    <s v="Fruit"/>
    <n v="8283"/>
    <d v="2024-11-26T00:00:00"/>
    <x v="1"/>
  </r>
  <r>
    <n v="188"/>
    <s v="Orange"/>
    <s v="Fruit"/>
    <n v="9990"/>
    <d v="2024-11-28T00:00:00"/>
    <x v="2"/>
  </r>
  <r>
    <n v="189"/>
    <s v="Banana"/>
    <s v="Fruit"/>
    <n v="9014"/>
    <d v="2024-11-28T00:00:00"/>
    <x v="4"/>
  </r>
  <r>
    <n v="190"/>
    <s v="Apple"/>
    <s v="Fruit"/>
    <n v="1942"/>
    <d v="2024-11-29T00:00:00"/>
    <x v="6"/>
  </r>
  <r>
    <n v="191"/>
    <s v="Banana"/>
    <s v="Fruit"/>
    <n v="7223"/>
    <d v="2024-11-30T00:00:00"/>
    <x v="0"/>
  </r>
  <r>
    <n v="192"/>
    <s v="Carrots"/>
    <s v="Vegetables"/>
    <n v="4673"/>
    <d v="2024-12-02T00:00:00"/>
    <x v="0"/>
  </r>
  <r>
    <n v="193"/>
    <s v="Carrots"/>
    <s v="Vegetables"/>
    <n v="9104"/>
    <d v="2024-12-04T00:00:00"/>
    <x v="6"/>
  </r>
  <r>
    <n v="194"/>
    <s v="Apple"/>
    <s v="Fruit"/>
    <n v="6078"/>
    <d v="2024-12-05T00:00:00"/>
    <x v="0"/>
  </r>
  <r>
    <n v="195"/>
    <s v="Beans"/>
    <s v="Vegetables"/>
    <n v="3278"/>
    <d v="2024-12-06T00:00:00"/>
    <x v="3"/>
  </r>
  <r>
    <n v="196"/>
    <s v="Banana"/>
    <s v="Fruit"/>
    <n v="136"/>
    <d v="2024-12-12T00:00:00"/>
    <x v="2"/>
  </r>
  <r>
    <n v="197"/>
    <s v="Banana"/>
    <s v="Fruit"/>
    <n v="8377"/>
    <d v="2024-12-12T00:00:00"/>
    <x v="4"/>
  </r>
  <r>
    <n v="198"/>
    <s v="Banana"/>
    <s v="Fruit"/>
    <n v="2382"/>
    <d v="2024-12-12T00:00:00"/>
    <x v="0"/>
  </r>
  <r>
    <n v="199"/>
    <s v="Banana"/>
    <s v="Fruit"/>
    <n v="8702"/>
    <d v="2024-12-15T00:00:00"/>
    <x v="3"/>
  </r>
  <r>
    <n v="200"/>
    <s v="Banana"/>
    <s v="Fruit"/>
    <n v="5021"/>
    <d v="2024-12-16T00:00:00"/>
    <x v="0"/>
  </r>
  <r>
    <n v="201"/>
    <s v="Apple"/>
    <s v="Fruit"/>
    <n v="1760"/>
    <d v="2024-12-16T00:00:00"/>
    <x v="4"/>
  </r>
  <r>
    <n v="202"/>
    <s v="Banana"/>
    <s v="Fruit"/>
    <n v="4766"/>
    <d v="2024-12-18T00:00:00"/>
    <x v="3"/>
  </r>
  <r>
    <n v="203"/>
    <s v="Beans"/>
    <s v="Vegetables"/>
    <n v="1541"/>
    <d v="2024-12-19T00:00:00"/>
    <x v="1"/>
  </r>
  <r>
    <n v="204"/>
    <s v="Orange"/>
    <s v="Fruit"/>
    <n v="2782"/>
    <d v="2024-12-20T00:00:00"/>
    <x v="1"/>
  </r>
  <r>
    <n v="205"/>
    <s v="Apple"/>
    <s v="Fruit"/>
    <n v="2455"/>
    <d v="2024-12-20T00:00:00"/>
    <x v="2"/>
  </r>
  <r>
    <n v="206"/>
    <s v="Apple"/>
    <s v="Fruit"/>
    <n v="4512"/>
    <d v="2024-12-22T00:00:00"/>
    <x v="5"/>
  </r>
  <r>
    <n v="207"/>
    <s v="Apple"/>
    <s v="Fruit"/>
    <n v="8752"/>
    <d v="2024-12-22T00:00:00"/>
    <x v="3"/>
  </r>
  <r>
    <n v="208"/>
    <s v="Carrots"/>
    <s v="Vegetables"/>
    <n v="9127"/>
    <d v="2024-12-25T00:00:00"/>
    <x v="0"/>
  </r>
  <r>
    <n v="209"/>
    <s v="Apple"/>
    <s v="Fruit"/>
    <n v="1777"/>
    <d v="2024-12-28T00:00:00"/>
    <x v="6"/>
  </r>
  <r>
    <n v="210"/>
    <s v="Beans"/>
    <s v="Vegetables"/>
    <n v="680"/>
    <d v="2024-12-28T00:00:00"/>
    <x v="6"/>
  </r>
  <r>
    <n v="211"/>
    <s v="Orange"/>
    <s v="Fruit"/>
    <n v="958"/>
    <d v="2024-12-29T00:00:00"/>
    <x v="0"/>
  </r>
  <r>
    <n v="212"/>
    <s v="Carrots"/>
    <s v="Vegetables"/>
    <n v="2613"/>
    <d v="2024-12-29T00:00:00"/>
    <x v="4"/>
  </r>
  <r>
    <n v="213"/>
    <s v="Carrots"/>
    <s v="Vegetables"/>
    <n v="339"/>
    <d v="2024-12-30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14" firstHeaderRow="0" firstDataRow="1" firstDataCol="1"/>
  <pivotFields count="8">
    <pivotField showAll="0"/>
    <pivotField showAll="0"/>
    <pivotField showAll="0"/>
    <pivotField dataField="1" numFmtId="164" showAll="0"/>
    <pivotField numFmtId="14" showAll="0"/>
    <pivotField axis="axisRow" showAll="0">
      <items count="9">
        <item x="4"/>
        <item x="2"/>
        <item x="6"/>
        <item x="3"/>
        <item x="5"/>
        <item x="1"/>
        <item x="0"/>
        <item f="1" x="7"/>
        <item t="default"/>
      </items>
    </pivotField>
    <pivotField dataField="1" dragToRow="0" dragToCol="0" dragToPage="0" showAll="0" defaultSubtotal="0"/>
    <pivotField axis="axisRow" showAll="0">
      <items count="3">
        <item x="1"/>
        <item x="0"/>
        <item t="default"/>
      </items>
    </pivotField>
  </pivotFields>
  <rowFields count="2">
    <field x="7"/>
    <field x="5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Tax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8BFF1-9C27-4AFF-A70F-AC459DFE52C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14" firstHeaderRow="0" firstDataRow="1" firstDataCol="1"/>
  <pivotFields count="8">
    <pivotField showAll="0"/>
    <pivotField showAll="0"/>
    <pivotField showAll="0"/>
    <pivotField dataField="1" numFmtId="164" showAll="0"/>
    <pivotField numFmtId="14" showAll="0"/>
    <pivotField axis="axisRow" showAll="0">
      <items count="9">
        <item x="4"/>
        <item x="2"/>
        <item x="6"/>
        <item x="3"/>
        <item x="5"/>
        <item x="1"/>
        <item x="0"/>
        <item f="1" x="7"/>
        <item t="default"/>
      </items>
    </pivotField>
    <pivotField dataField="1" dragToRow="0" dragToCol="0" dragToPage="0" showAll="0" defaultSubtotal="0"/>
    <pivotField axis="axisRow" showAll="0">
      <items count="3">
        <item x="1"/>
        <item x="0"/>
        <item t="default"/>
      </items>
    </pivotField>
  </pivotFields>
  <rowFields count="2">
    <field x="7"/>
    <field x="5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 numFmtId="164"/>
    <dataField name="Sum of Tax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1EFCE-7ACA-4790-8F9C-1D75388E62A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4" firstHeaderRow="1" firstDataRow="1" firstDataCol="1"/>
  <pivotFields count="8">
    <pivotField showAll="0"/>
    <pivotField showAll="0"/>
    <pivotField showAll="0"/>
    <pivotField dataField="1" numFmtId="164" showAll="0"/>
    <pivotField numFmtId="14" showAll="0"/>
    <pivotField axis="axisRow" showAll="0">
      <items count="9">
        <item x="4"/>
        <item x="2"/>
        <item x="6"/>
        <item x="3"/>
        <item x="5"/>
        <item x="1"/>
        <item x="0"/>
        <item f="1" x="7"/>
        <item t="default"/>
      </items>
    </pivotField>
    <pivotField dragToRow="0" dragToCol="0" dragToPage="0" showAll="0" defaultSubtotal="0"/>
    <pivotField axis="axisRow" showAll="0">
      <items count="3">
        <item n="Sales" x="1"/>
        <item n="Tax" x="0"/>
        <item t="default"/>
      </items>
    </pivotField>
  </pivotFields>
  <rowFields count="2">
    <field x="7"/>
    <field x="5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4"/>
  <sheetViews>
    <sheetView workbookViewId="0">
      <selection activeCell="A3" sqref="A3"/>
    </sheetView>
  </sheetViews>
  <sheetFormatPr defaultRowHeight="14.4" x14ac:dyDescent="0.3"/>
  <cols>
    <col min="1" max="1" width="18" bestFit="1" customWidth="1"/>
    <col min="2" max="2" width="14.44140625" bestFit="1" customWidth="1"/>
    <col min="3" max="3" width="10.33203125" bestFit="1" customWidth="1"/>
  </cols>
  <sheetData>
    <row r="3" spans="1:3" x14ac:dyDescent="0.3">
      <c r="A3" s="4" t="s">
        <v>22</v>
      </c>
      <c r="B3" t="s">
        <v>24</v>
      </c>
      <c r="C3" t="s">
        <v>25</v>
      </c>
    </row>
    <row r="4" spans="1:3" x14ac:dyDescent="0.3">
      <c r="A4" s="5" t="s">
        <v>27</v>
      </c>
      <c r="B4" s="6">
        <v>1029734</v>
      </c>
      <c r="C4" s="2">
        <v>30892.02</v>
      </c>
    </row>
    <row r="5" spans="1:3" x14ac:dyDescent="0.3">
      <c r="A5" s="7" t="s">
        <v>11</v>
      </c>
      <c r="B5" s="6">
        <v>131713</v>
      </c>
      <c r="C5" s="2">
        <v>3951.39</v>
      </c>
    </row>
    <row r="6" spans="1:3" x14ac:dyDescent="0.3">
      <c r="A6" s="7" t="s">
        <v>10</v>
      </c>
      <c r="B6" s="6">
        <v>94745</v>
      </c>
      <c r="C6" s="2">
        <v>0</v>
      </c>
    </row>
    <row r="7" spans="1:3" x14ac:dyDescent="0.3">
      <c r="A7" s="7" t="s">
        <v>20</v>
      </c>
      <c r="B7" s="6">
        <v>141056</v>
      </c>
      <c r="C7" s="2">
        <v>4231.68</v>
      </c>
    </row>
    <row r="8" spans="1:3" x14ac:dyDescent="0.3">
      <c r="A8" s="7" t="s">
        <v>12</v>
      </c>
      <c r="B8" s="6">
        <v>155168</v>
      </c>
      <c r="C8" s="2">
        <v>4655.04</v>
      </c>
    </row>
    <row r="9" spans="1:3" x14ac:dyDescent="0.3">
      <c r="A9" s="7" t="s">
        <v>21</v>
      </c>
      <c r="B9" s="6">
        <v>66782</v>
      </c>
      <c r="C9" s="2">
        <v>0</v>
      </c>
    </row>
    <row r="10" spans="1:3" x14ac:dyDescent="0.3">
      <c r="A10" s="7" t="s">
        <v>9</v>
      </c>
      <c r="B10" s="6">
        <v>173137</v>
      </c>
      <c r="C10" s="2">
        <v>5194.1099999999997</v>
      </c>
    </row>
    <row r="11" spans="1:3" x14ac:dyDescent="0.3">
      <c r="A11" s="7" t="s">
        <v>8</v>
      </c>
      <c r="B11" s="6">
        <v>267133</v>
      </c>
      <c r="C11" s="2">
        <v>8013.99</v>
      </c>
    </row>
    <row r="12" spans="1:3" x14ac:dyDescent="0.3">
      <c r="A12" s="5" t="s">
        <v>26</v>
      </c>
      <c r="B12" s="6">
        <v>1947.9299999999998</v>
      </c>
      <c r="C12" s="2">
        <v>0</v>
      </c>
    </row>
    <row r="13" spans="1:3" x14ac:dyDescent="0.3">
      <c r="A13" s="7" t="s">
        <v>26</v>
      </c>
      <c r="B13" s="6">
        <v>1947.9299999999998</v>
      </c>
      <c r="C13" s="2">
        <v>0</v>
      </c>
    </row>
    <row r="14" spans="1:3" x14ac:dyDescent="0.3">
      <c r="A14" s="5" t="s">
        <v>23</v>
      </c>
      <c r="B14" s="6">
        <v>1031681.93</v>
      </c>
      <c r="C14" s="2">
        <v>30950.457900000001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A160-E44D-453D-A4A0-39D5C7FD814E}">
  <dimension ref="A3:C14"/>
  <sheetViews>
    <sheetView workbookViewId="0">
      <selection activeCell="B7" sqref="B7"/>
    </sheetView>
  </sheetViews>
  <sheetFormatPr defaultRowHeight="14.4" x14ac:dyDescent="0.3"/>
  <cols>
    <col min="1" max="1" width="18" bestFit="1" customWidth="1"/>
    <col min="2" max="2" width="14.44140625" bestFit="1" customWidth="1"/>
    <col min="3" max="3" width="10.33203125" bestFit="1" customWidth="1"/>
  </cols>
  <sheetData>
    <row r="3" spans="1:3" x14ac:dyDescent="0.3">
      <c r="A3" s="4" t="s">
        <v>22</v>
      </c>
      <c r="B3" t="s">
        <v>24</v>
      </c>
      <c r="C3" t="s">
        <v>25</v>
      </c>
    </row>
    <row r="4" spans="1:3" x14ac:dyDescent="0.3">
      <c r="A4" s="5" t="s">
        <v>27</v>
      </c>
      <c r="B4" s="2">
        <v>1029734</v>
      </c>
      <c r="C4" s="2">
        <v>30892.02</v>
      </c>
    </row>
    <row r="5" spans="1:3" x14ac:dyDescent="0.3">
      <c r="A5" s="7" t="s">
        <v>11</v>
      </c>
      <c r="B5" s="2">
        <v>131713</v>
      </c>
      <c r="C5" s="2">
        <v>3951.39</v>
      </c>
    </row>
    <row r="6" spans="1:3" x14ac:dyDescent="0.3">
      <c r="A6" s="7" t="s">
        <v>10</v>
      </c>
      <c r="B6" s="2">
        <v>94745</v>
      </c>
      <c r="C6" s="2">
        <v>0</v>
      </c>
    </row>
    <row r="7" spans="1:3" x14ac:dyDescent="0.3">
      <c r="A7" s="7" t="s">
        <v>20</v>
      </c>
      <c r="B7" s="2">
        <v>141056</v>
      </c>
      <c r="C7" s="2">
        <v>4231.68</v>
      </c>
    </row>
    <row r="8" spans="1:3" x14ac:dyDescent="0.3">
      <c r="A8" s="7" t="s">
        <v>12</v>
      </c>
      <c r="B8" s="2">
        <v>155168</v>
      </c>
      <c r="C8" s="2">
        <v>4655.04</v>
      </c>
    </row>
    <row r="9" spans="1:3" x14ac:dyDescent="0.3">
      <c r="A9" s="7" t="s">
        <v>21</v>
      </c>
      <c r="B9" s="2">
        <v>66782</v>
      </c>
      <c r="C9" s="2">
        <v>0</v>
      </c>
    </row>
    <row r="10" spans="1:3" x14ac:dyDescent="0.3">
      <c r="A10" s="7" t="s">
        <v>9</v>
      </c>
      <c r="B10" s="2">
        <v>173137</v>
      </c>
      <c r="C10" s="2">
        <v>5194.1099999999997</v>
      </c>
    </row>
    <row r="11" spans="1:3" x14ac:dyDescent="0.3">
      <c r="A11" s="7" t="s">
        <v>8</v>
      </c>
      <c r="B11" s="2">
        <v>267133</v>
      </c>
      <c r="C11" s="2">
        <v>8013.99</v>
      </c>
    </row>
    <row r="12" spans="1:3" x14ac:dyDescent="0.3">
      <c r="A12" s="5" t="s">
        <v>26</v>
      </c>
      <c r="B12" s="2">
        <v>1947.9299999999998</v>
      </c>
      <c r="C12" s="2">
        <v>0</v>
      </c>
    </row>
    <row r="13" spans="1:3" x14ac:dyDescent="0.3">
      <c r="A13" s="7" t="s">
        <v>26</v>
      </c>
      <c r="B13" s="2">
        <v>1947.9299999999998</v>
      </c>
      <c r="C13" s="2">
        <v>0</v>
      </c>
    </row>
    <row r="14" spans="1:3" x14ac:dyDescent="0.3">
      <c r="A14" s="5" t="s">
        <v>23</v>
      </c>
      <c r="B14" s="2">
        <v>1031681.93</v>
      </c>
      <c r="C14" s="2">
        <v>30950.457900000001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45A4-2524-4036-90BE-43500711FA26}">
  <dimension ref="A3:B14"/>
  <sheetViews>
    <sheetView tabSelected="1" workbookViewId="0">
      <selection activeCell="F16" sqref="F16"/>
    </sheetView>
  </sheetViews>
  <sheetFormatPr defaultRowHeight="14.4" x14ac:dyDescent="0.3"/>
  <cols>
    <col min="1" max="1" width="18" bestFit="1" customWidth="1"/>
    <col min="2" max="2" width="14.44140625" bestFit="1" customWidth="1"/>
  </cols>
  <sheetData>
    <row r="3" spans="1:2" x14ac:dyDescent="0.3">
      <c r="A3" s="4" t="s">
        <v>22</v>
      </c>
      <c r="B3" t="s">
        <v>24</v>
      </c>
    </row>
    <row r="4" spans="1:2" x14ac:dyDescent="0.3">
      <c r="A4" s="5" t="s">
        <v>28</v>
      </c>
      <c r="B4" s="2">
        <v>1029734</v>
      </c>
    </row>
    <row r="5" spans="1:2" x14ac:dyDescent="0.3">
      <c r="A5" s="7" t="s">
        <v>11</v>
      </c>
      <c r="B5" s="2">
        <v>131713</v>
      </c>
    </row>
    <row r="6" spans="1:2" x14ac:dyDescent="0.3">
      <c r="A6" s="7" t="s">
        <v>10</v>
      </c>
      <c r="B6" s="2">
        <v>94745</v>
      </c>
    </row>
    <row r="7" spans="1:2" x14ac:dyDescent="0.3">
      <c r="A7" s="7" t="s">
        <v>20</v>
      </c>
      <c r="B7" s="2">
        <v>141056</v>
      </c>
    </row>
    <row r="8" spans="1:2" x14ac:dyDescent="0.3">
      <c r="A8" s="7" t="s">
        <v>12</v>
      </c>
      <c r="B8" s="2">
        <v>155168</v>
      </c>
    </row>
    <row r="9" spans="1:2" x14ac:dyDescent="0.3">
      <c r="A9" s="7" t="s">
        <v>21</v>
      </c>
      <c r="B9" s="2">
        <v>66782</v>
      </c>
    </row>
    <row r="10" spans="1:2" x14ac:dyDescent="0.3">
      <c r="A10" s="7" t="s">
        <v>9</v>
      </c>
      <c r="B10" s="2">
        <v>173137</v>
      </c>
    </row>
    <row r="11" spans="1:2" x14ac:dyDescent="0.3">
      <c r="A11" s="7" t="s">
        <v>8</v>
      </c>
      <c r="B11" s="2">
        <v>267133</v>
      </c>
    </row>
    <row r="12" spans="1:2" x14ac:dyDescent="0.3">
      <c r="A12" s="5" t="s">
        <v>29</v>
      </c>
      <c r="B12" s="2">
        <v>1947.9299999999998</v>
      </c>
    </row>
    <row r="13" spans="1:2" x14ac:dyDescent="0.3">
      <c r="A13" s="7" t="s">
        <v>26</v>
      </c>
      <c r="B13" s="2">
        <v>1947.9299999999998</v>
      </c>
    </row>
    <row r="14" spans="1:2" x14ac:dyDescent="0.3">
      <c r="A14" s="5" t="s">
        <v>23</v>
      </c>
      <c r="B14" s="2">
        <v>1031681.93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4"/>
  <sheetViews>
    <sheetView workbookViewId="0">
      <selection activeCell="C8" sqref="C8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8" width="10.441406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Calculated Field</vt:lpstr>
      <vt:lpstr>CalculatedField</vt:lpstr>
      <vt:lpstr>CalculatedItem</vt:lpstr>
      <vt:lpstr>OriginalData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2012-06-12T18:34:12Z</dcterms:created>
  <dcterms:modified xsi:type="dcterms:W3CDTF">2026-02-10T17:35:33Z</dcterms:modified>
</cp:coreProperties>
</file>