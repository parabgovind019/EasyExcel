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f817dbf12b6dcf0/Desktop/DateTime/"/>
    </mc:Choice>
  </mc:AlternateContent>
  <xr:revisionPtr revIDLastSave="147" documentId="11_F25DC773A252ABDACC1048C9A1DF6BC05ADE58E5" xr6:coauthVersionLast="47" xr6:coauthVersionMax="47" xr10:uidLastSave="{44D82718-4012-4613-8BCB-08EFEA78060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P12" i="1"/>
  <c r="R9" i="1"/>
  <c r="R8" i="1"/>
  <c r="R4" i="1"/>
  <c r="R5" i="1"/>
  <c r="R6" i="1"/>
  <c r="R7" i="1"/>
  <c r="R3" i="1"/>
  <c r="R2" i="1"/>
  <c r="N3" i="1"/>
  <c r="N2" i="1"/>
  <c r="N1" i="1"/>
  <c r="B13" i="1"/>
  <c r="B12" i="1"/>
  <c r="B11" i="1"/>
  <c r="L11" i="1"/>
  <c r="L12" i="1"/>
  <c r="L13" i="1"/>
  <c r="L14" i="1"/>
  <c r="L6" i="1"/>
  <c r="L7" i="1"/>
  <c r="L8" i="1"/>
  <c r="L9" i="1"/>
  <c r="L10" i="1"/>
  <c r="L5" i="1"/>
  <c r="L2" i="1"/>
  <c r="L1" i="1"/>
  <c r="L3" i="1" s="1"/>
  <c r="I8" i="1"/>
  <c r="I7" i="1"/>
  <c r="I5" i="1"/>
  <c r="I4" i="1"/>
  <c r="I3" i="1"/>
  <c r="G3" i="1"/>
  <c r="G2" i="1"/>
  <c r="G1" i="1"/>
  <c r="E9" i="1"/>
  <c r="E8" i="1"/>
  <c r="E7" i="1"/>
  <c r="E6" i="1"/>
  <c r="E5" i="1"/>
  <c r="E4" i="1"/>
  <c r="E3" i="1"/>
  <c r="C2" i="1"/>
  <c r="C1" i="1"/>
  <c r="C4" i="1" s="1"/>
  <c r="A7" i="1"/>
  <c r="A6" i="1"/>
  <c r="A5" i="1"/>
  <c r="B4" i="1"/>
  <c r="B3" i="1"/>
  <c r="B2" i="1"/>
  <c r="A4" i="1"/>
  <c r="A3" i="1"/>
  <c r="A2" i="1"/>
  <c r="C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tc={0F0B508A-AD39-4EFC-9A4E-AFD795E33558}</author>
  </authors>
  <commentList>
    <comment ref="R2" authorId="0" shapeId="0" xr:uid="{0F0B508A-AD39-4EFC-9A4E-AFD795E33558}">
      <text>
        <t>[Threaded comment]
Your version of Excel allows you to read this threaded comment; however, any edits to it will get removed if the file is opened in a newer version of Excel. Learn more: https://go.microsoft.com/fwlink/?linkid=870924
Comment:
    “=IF(B2&lt;A2, B2+1-A2, B2-A2)”</t>
      </text>
    </comment>
  </commentList>
</comments>
</file>

<file path=xl/sharedStrings.xml><?xml version="1.0" encoding="utf-8"?>
<sst xmlns="http://schemas.openxmlformats.org/spreadsheetml/2006/main" count="7" uniqueCount="7">
  <si>
    <t>DOB</t>
  </si>
  <si>
    <t>firstDay</t>
  </si>
  <si>
    <t>currentDay</t>
  </si>
  <si>
    <t>in</t>
  </si>
  <si>
    <t>out</t>
  </si>
  <si>
    <t>time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</si>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</sst>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6" formatCode="[h]:mm"/>
  </numFmts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2" borderId="0" xfId="0" applyNumberFormat="1" applyFill="1"/>
    <xf numFmtId="0" fontId="0" fillId="2" borderId="0" xfId="0" applyFill="1"/>
    <xf numFmtId="20" fontId="0" fillId="3" borderId="0" xfId="0" applyNumberFormat="1" applyFill="1"/>
    <xf numFmtId="0" fontId="0" fillId="3" borderId="0" xfId="0" applyFill="1"/>
    <xf numFmtId="14" fontId="0" fillId="4" borderId="0" xfId="0" applyNumberFormat="1" applyFill="1"/>
    <xf numFmtId="22" fontId="0" fillId="5" borderId="0" xfId="0" applyNumberFormat="1" applyFill="1"/>
    <xf numFmtId="14" fontId="0" fillId="5" borderId="0" xfId="0" applyNumberFormat="1" applyFill="1"/>
    <xf numFmtId="0" fontId="0" fillId="5" borderId="0" xfId="0" applyFill="1"/>
    <xf numFmtId="18" fontId="0" fillId="5" borderId="0" xfId="0" applyNumberFormat="1" applyFill="1"/>
    <xf numFmtId="14" fontId="0" fillId="6" borderId="0" xfId="0" applyNumberFormat="1" applyFill="1"/>
    <xf numFmtId="0" fontId="0" fillId="6" borderId="0" xfId="0" applyFill="1"/>
    <xf numFmtId="22" fontId="0" fillId="2" borderId="0" xfId="0" applyNumberFormat="1" applyFill="1"/>
    <xf numFmtId="164" fontId="0" fillId="2" borderId="0" xfId="0" applyNumberFormat="1" applyFill="1"/>
    <xf numFmtId="20" fontId="0" fillId="2" borderId="0" xfId="0" applyNumberFormat="1" applyFill="1"/>
    <xf numFmtId="0" fontId="0" fillId="7" borderId="0" xfId="0" applyFill="1"/>
    <xf numFmtId="14" fontId="0" fillId="7" borderId="0" xfId="0" applyNumberFormat="1" applyFill="1"/>
    <xf numFmtId="0" fontId="0" fillId="8" borderId="0" xfId="0" applyFill="1"/>
    <xf numFmtId="14" fontId="0" fillId="8" borderId="0" xfId="0" applyNumberFormat="1" applyFill="1"/>
    <xf numFmtId="0" fontId="0" fillId="9" borderId="0" xfId="0" applyFill="1"/>
    <xf numFmtId="14" fontId="0" fillId="9" borderId="0" xfId="0" applyNumberFormat="1" applyFill="1"/>
    <xf numFmtId="20" fontId="0" fillId="9" borderId="0" xfId="0" applyNumberFormat="1" applyFill="1"/>
    <xf numFmtId="164" fontId="0" fillId="9" borderId="0" xfId="0" applyNumberFormat="1" applyFill="1"/>
    <xf numFmtId="18" fontId="0" fillId="9" borderId="0" xfId="0" applyNumberFormat="1" applyFill="1"/>
    <xf numFmtId="166" fontId="0" fillId="9" borderId="0" xfId="0" applyNumberForma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vindparab09@outlook.com" id="{E2D1D84E-9A66-4E8E-AC66-E7015669F6CB}" userId="df817dbf12b6dcf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" dT="2026-02-01T18:11:48.45" personId="{E2D1D84E-9A66-4E8E-AC66-E7015669F6CB}" id="{0F0B508A-AD39-4EFC-9A4E-AFD795E33558}">
    <text>“=IF(B2&lt;A2, B2+1-A2, B2-A2)”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F24" sqref="F24"/>
    </sheetView>
  </sheetViews>
  <sheetFormatPr defaultRowHeight="14.4" x14ac:dyDescent="0.3"/>
  <cols>
    <col min="1" max="1" width="16.6640625" customWidth="1"/>
    <col min="2" max="2" width="14" customWidth="1"/>
    <col min="3" max="3" width="15.44140625" bestFit="1" customWidth="1"/>
    <col min="5" max="5" width="10.33203125" bestFit="1" customWidth="1"/>
    <col min="7" max="7" width="15.44140625" bestFit="1" customWidth="1"/>
    <col min="9" max="9" width="10.33203125" bestFit="1" customWidth="1"/>
    <col min="10" max="10" width="10.33203125" customWidth="1"/>
    <col min="12" max="12" width="10.33203125" bestFit="1" customWidth="1"/>
    <col min="14" max="14" width="10.33203125" bestFit="1" customWidth="1"/>
  </cols>
  <sheetData>
    <row r="1" spans="1:18" x14ac:dyDescent="0.3">
      <c r="A1" s="1">
        <v>46054</v>
      </c>
      <c r="B1" s="3">
        <v>0.25717592592592592</v>
      </c>
      <c r="C1" s="6">
        <f ca="1">NOW()</f>
        <v>46054.99154664352</v>
      </c>
      <c r="E1" s="10">
        <v>43831</v>
      </c>
      <c r="G1" s="12">
        <f ca="1">NOW()</f>
        <v>46054.99154664352</v>
      </c>
      <c r="I1" s="15" t="s">
        <v>0</v>
      </c>
      <c r="K1" s="17" t="s">
        <v>2</v>
      </c>
      <c r="L1" s="18">
        <f ca="1">TODAY()</f>
        <v>46054</v>
      </c>
      <c r="N1" s="19">
        <f ca="1">WEEKDAY(TODAY())</f>
        <v>1</v>
      </c>
      <c r="P1" s="19" t="s">
        <v>3</v>
      </c>
      <c r="Q1" s="19" t="s">
        <v>4</v>
      </c>
      <c r="R1" s="19" t="s">
        <v>5</v>
      </c>
    </row>
    <row r="2" spans="1:18" x14ac:dyDescent="0.3">
      <c r="A2" s="2">
        <f>YEAR(A1)</f>
        <v>2026</v>
      </c>
      <c r="B2" s="4">
        <f>HOUR(B1)</f>
        <v>6</v>
      </c>
      <c r="C2" s="7">
        <f ca="1">TODAY()</f>
        <v>46054</v>
      </c>
      <c r="E2" s="10">
        <v>47737</v>
      </c>
      <c r="G2" s="1">
        <f ca="1">TODAY()</f>
        <v>46054</v>
      </c>
      <c r="I2" s="16">
        <v>37143</v>
      </c>
      <c r="K2" s="17" t="s">
        <v>1</v>
      </c>
      <c r="L2" s="18">
        <f>DATE(2026,1,1)</f>
        <v>46023</v>
      </c>
      <c r="N2" s="19">
        <f>NETWORKDAYS(B12,B11)</f>
        <v>20</v>
      </c>
      <c r="P2" s="21">
        <v>0.33333333333333331</v>
      </c>
      <c r="Q2" s="21">
        <v>0.75</v>
      </c>
      <c r="R2" s="22">
        <f>Q2-P2</f>
        <v>0.41666666666666669</v>
      </c>
    </row>
    <row r="3" spans="1:18" x14ac:dyDescent="0.3">
      <c r="A3" s="2">
        <f>MONTH(A1)</f>
        <v>2</v>
      </c>
      <c r="B3" s="4">
        <f>MINUTE(B1)</f>
        <v>10</v>
      </c>
      <c r="C3" s="8">
        <f ca="1">HOUR(C1)</f>
        <v>23</v>
      </c>
      <c r="E3" s="11">
        <f>E2-E1</f>
        <v>3906</v>
      </c>
      <c r="G3" s="13">
        <f ca="1">NOW()-TODAY()</f>
        <v>0.99154664351954125</v>
      </c>
      <c r="I3" s="15">
        <f ca="1">DATEDIF(I2,TODAY(),"Y")</f>
        <v>24</v>
      </c>
      <c r="K3" s="17"/>
      <c r="L3" s="17">
        <f ca="1">L1-L2+1</f>
        <v>32</v>
      </c>
      <c r="N3" s="20">
        <f ca="1">WORKDAY(TODAY(),11)</f>
        <v>46069</v>
      </c>
      <c r="P3" s="21">
        <v>0.375</v>
      </c>
      <c r="Q3" s="23">
        <v>0.625</v>
      </c>
      <c r="R3" s="22">
        <f>Q3-P3</f>
        <v>0.25</v>
      </c>
    </row>
    <row r="4" spans="1:18" x14ac:dyDescent="0.3">
      <c r="A4" s="2">
        <f>DAY(A1)</f>
        <v>1</v>
      </c>
      <c r="B4" s="4">
        <f>SECOND(B1)</f>
        <v>20</v>
      </c>
      <c r="C4" s="9">
        <f ca="1">TIME(HOUR(C1)+5,MINUTE(C1)+60,90)</f>
        <v>0.24201388888888897</v>
      </c>
      <c r="E4" s="11">
        <f>DATEDIF(E1,E2,"Y")</f>
        <v>10</v>
      </c>
      <c r="G4" s="1">
        <v>46054</v>
      </c>
      <c r="I4" s="15">
        <f>DATEDIF(I2,DATE(2026,9,9),"Y")</f>
        <v>25</v>
      </c>
      <c r="K4" s="17"/>
      <c r="L4" s="17"/>
      <c r="P4" s="21">
        <v>0.41666666666666702</v>
      </c>
      <c r="Q4" s="23">
        <v>0.66666666666666663</v>
      </c>
      <c r="R4" s="22">
        <f t="shared" ref="R4:R8" si="0">Q4-P4</f>
        <v>0.24999999999999961</v>
      </c>
    </row>
    <row r="5" spans="1:18" x14ac:dyDescent="0.3">
      <c r="A5" s="5">
        <f>A1+5</f>
        <v>46059</v>
      </c>
      <c r="E5" s="11">
        <f>DATEDIF(E1,E2,"D")</f>
        <v>3906</v>
      </c>
      <c r="G5" s="14">
        <v>0.94861111111111107</v>
      </c>
      <c r="I5" s="15" t="str">
        <f ca="1">DATEDIF(I2,TODAY(),"Y")&amp;"y"&amp;" "&amp;DATEDIF(I2,TODAY(),"YM")&amp;"m"&amp;" "&amp;DATEDIF(I2,TODAY(),"MD")&amp;"d"</f>
        <v>24y 4m 23d</v>
      </c>
      <c r="K5" s="17">
        <v>2020</v>
      </c>
      <c r="L5" s="17">
        <f>DATE(K5,12,31)-DATE(K5,1,1)+1</f>
        <v>366</v>
      </c>
      <c r="P5" s="21">
        <v>0.45833333333333298</v>
      </c>
      <c r="Q5" s="23">
        <v>0.72916666666666663</v>
      </c>
      <c r="R5" s="22">
        <f t="shared" si="0"/>
        <v>0.27083333333333365</v>
      </c>
    </row>
    <row r="6" spans="1:18" x14ac:dyDescent="0.3">
      <c r="A6" s="5">
        <f>DATE(2026,2,1)</f>
        <v>46054</v>
      </c>
      <c r="E6" s="11">
        <f>DATEDIF(E1,E2,"M")</f>
        <v>128</v>
      </c>
      <c r="G6" s="12">
        <v>46054.948611111111</v>
      </c>
      <c r="K6" s="17">
        <v>2021</v>
      </c>
      <c r="L6" s="17">
        <f t="shared" ref="L6:L14" si="1">DATE(K6,12,31)-DATE(K6,1,1)+1</f>
        <v>365</v>
      </c>
      <c r="P6" s="21">
        <v>0.5</v>
      </c>
      <c r="Q6" s="23">
        <v>0.75</v>
      </c>
      <c r="R6" s="22">
        <f t="shared" si="0"/>
        <v>0.25</v>
      </c>
    </row>
    <row r="7" spans="1:18" x14ac:dyDescent="0.3">
      <c r="A7" s="5">
        <f>DATE(YEAR(A1)+2,MONTH(A1),DAY(A1)+27)</f>
        <v>46811</v>
      </c>
      <c r="E7" s="11">
        <f>DATEDIF(E1,E2,"YD")</f>
        <v>254</v>
      </c>
      <c r="I7" s="19">
        <f>DATE(2029,1,1)-DATE(2026,1,1)</f>
        <v>1096</v>
      </c>
      <c r="K7" s="17">
        <v>2022</v>
      </c>
      <c r="L7" s="17">
        <f t="shared" si="1"/>
        <v>365</v>
      </c>
      <c r="P7" s="21">
        <v>0.54166666666666696</v>
      </c>
      <c r="Q7" s="23">
        <v>0.79166666666666696</v>
      </c>
      <c r="R7" s="22">
        <f t="shared" si="0"/>
        <v>0.25</v>
      </c>
    </row>
    <row r="8" spans="1:18" x14ac:dyDescent="0.3">
      <c r="E8" s="11">
        <f>DATEDIF(E1,E2,"YM")</f>
        <v>8</v>
      </c>
      <c r="I8" s="19">
        <f>NETWORKDAYS(DATE(2026,1,1),DATE(2029,1,1))</f>
        <v>783</v>
      </c>
      <c r="K8" s="17">
        <v>2023</v>
      </c>
      <c r="L8" s="17">
        <f t="shared" si="1"/>
        <v>365</v>
      </c>
      <c r="P8" s="21">
        <v>0.58333333333333304</v>
      </c>
      <c r="Q8" s="23">
        <v>0.83333333333333304</v>
      </c>
      <c r="R8" s="22">
        <f t="shared" si="0"/>
        <v>0.25</v>
      </c>
    </row>
    <row r="9" spans="1:18" x14ac:dyDescent="0.3">
      <c r="E9" s="11">
        <f>DATEDIF(E1,E2,"MD")</f>
        <v>10</v>
      </c>
      <c r="K9" s="17">
        <v>2024</v>
      </c>
      <c r="L9" s="17">
        <f t="shared" si="1"/>
        <v>366</v>
      </c>
      <c r="P9" s="19"/>
      <c r="Q9" s="19" t="s">
        <v>6</v>
      </c>
      <c r="R9" s="24">
        <f>SUM(R2:R8)</f>
        <v>1.9375</v>
      </c>
    </row>
    <row r="10" spans="1:18" x14ac:dyDescent="0.3">
      <c r="K10" s="17">
        <v>2025</v>
      </c>
      <c r="L10" s="17">
        <f t="shared" si="1"/>
        <v>365</v>
      </c>
      <c r="P10" s="19"/>
      <c r="Q10" s="19"/>
      <c r="R10" s="19"/>
    </row>
    <row r="11" spans="1:18" x14ac:dyDescent="0.3">
      <c r="B11" s="20">
        <f>EOMONTH(A1,0)</f>
        <v>46081</v>
      </c>
      <c r="K11" s="17">
        <v>2026</v>
      </c>
      <c r="L11" s="17">
        <f t="shared" si="1"/>
        <v>365</v>
      </c>
      <c r="P11" s="19"/>
      <c r="Q11" s="19"/>
      <c r="R11" s="19"/>
    </row>
    <row r="12" spans="1:18" x14ac:dyDescent="0.3">
      <c r="B12" s="20">
        <f>EOMONTH(A1,-1)</f>
        <v>46053</v>
      </c>
      <c r="K12" s="17">
        <v>2027</v>
      </c>
      <c r="L12" s="17">
        <f t="shared" si="1"/>
        <v>365</v>
      </c>
      <c r="P12" s="23">
        <f>TIME(18,0,0)-TIME(8,0,0)</f>
        <v>0.41666666666666669</v>
      </c>
      <c r="Q12" s="19"/>
      <c r="R12" s="19"/>
    </row>
    <row r="13" spans="1:18" x14ac:dyDescent="0.3">
      <c r="B13" s="20">
        <f>EOMONTH(A1,1)</f>
        <v>46112</v>
      </c>
      <c r="K13" s="17">
        <v>2028</v>
      </c>
      <c r="L13" s="17">
        <f t="shared" si="1"/>
        <v>366</v>
      </c>
    </row>
    <row r="14" spans="1:18" x14ac:dyDescent="0.3">
      <c r="D14" s="25">
        <f>CHOOSE(MONTH(A1),1,1,1,2,2,2,3,3,3,4,4,4)</f>
        <v>1</v>
      </c>
      <c r="K14" s="17">
        <v>2029</v>
      </c>
      <c r="L14" s="17">
        <f t="shared" si="1"/>
        <v>365</v>
      </c>
    </row>
    <row r="15" spans="1:18" x14ac:dyDescent="0.3">
      <c r="D15" s="25">
        <f>CHOOSE(MONTH(DATE(2023,9,9)),1,1,1,2,2,2,3,3,3,4,4,4)</f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govindparab09@outlook.com</cp:lastModifiedBy>
  <dcterms:created xsi:type="dcterms:W3CDTF">2015-06-05T18:17:20Z</dcterms:created>
  <dcterms:modified xsi:type="dcterms:W3CDTF">2026-02-01T18:20:25Z</dcterms:modified>
</cp:coreProperties>
</file>