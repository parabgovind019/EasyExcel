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Round/"/>
    </mc:Choice>
  </mc:AlternateContent>
  <xr:revisionPtr revIDLastSave="219" documentId="11_F25DC773A252ABDACC1048C9A1DF6BC05ADE58E5" xr6:coauthVersionLast="47" xr6:coauthVersionMax="47" xr10:uidLastSave="{C07318B8-8832-459F-94A5-F64039F64967}"/>
  <bookViews>
    <workbookView xWindow="-108" yWindow="-108" windowWidth="23256" windowHeight="12456" xr2:uid="{00000000-000D-0000-FFFF-FFFF00000000}"/>
  </bookViews>
  <sheets>
    <sheet name="Rou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8" i="1"/>
  <c r="K5" i="1"/>
  <c r="K2" i="1"/>
  <c r="E25" i="1"/>
  <c r="E24" i="1"/>
  <c r="E23" i="1"/>
  <c r="E22" i="1"/>
  <c r="E21" i="1"/>
  <c r="E18" i="1"/>
  <c r="F20" i="1"/>
  <c r="F19" i="1"/>
  <c r="F17" i="1"/>
  <c r="F16" i="1"/>
  <c r="E20" i="1"/>
  <c r="E19" i="1"/>
  <c r="E17" i="1"/>
  <c r="E16" i="1"/>
  <c r="H9" i="1"/>
  <c r="H8" i="1"/>
  <c r="H7" i="1"/>
  <c r="H5" i="1"/>
  <c r="H4" i="1"/>
  <c r="H3" i="1"/>
  <c r="H2" i="1"/>
  <c r="E13" i="1"/>
  <c r="E11" i="1"/>
  <c r="E10" i="1"/>
  <c r="E9" i="1"/>
  <c r="E8" i="1"/>
  <c r="E6" i="1"/>
  <c r="E5" i="1"/>
  <c r="B27" i="1"/>
  <c r="B26" i="1"/>
  <c r="B23" i="1"/>
  <c r="B22" i="1"/>
  <c r="B21" i="1"/>
  <c r="B20" i="1"/>
  <c r="B18" i="1"/>
  <c r="B19" i="1"/>
  <c r="B17" i="1"/>
  <c r="B15" i="1"/>
  <c r="B14" i="1"/>
  <c r="B13" i="1"/>
  <c r="B12" i="1"/>
  <c r="B10" i="1"/>
  <c r="B11" i="1"/>
  <c r="B9" i="1"/>
  <c r="B7" i="1"/>
  <c r="B6" i="1"/>
  <c r="B4" i="1"/>
  <c r="B5" i="1"/>
  <c r="B3" i="1"/>
  <c r="B2" i="1"/>
  <c r="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tc={0308F623-6593-4FA1-BB7D-93EC8D2C8B6A}</author>
    <author>tc={0D3BF9C3-9495-4F17-A5B8-EF83E7920E1E}</author>
    <author>tc={8D44CD62-9EEC-4B9F-AFCE-FAA0BD441662}</author>
    <author>tc={55F83981-81EF-4DE2-8BEA-3619B424723E}</author>
    <author>tc={C78D1CC9-CAD5-48F8-B7B0-A334CDEB6440}</author>
    <author>tc={0359734A-C1A3-4DBB-902D-983E99D2ABAC}</author>
    <author>tc={6726FFD8-3975-4B15-9D06-DED2CFC96096}</author>
    <author>tc={B40D0306-88B3-4BEC-B2EB-78E6B0F470D8}</author>
    <author>tc={5830A4CD-BFFC-4F53-B88A-66A3DA9B4C29}</author>
    <author>tc={AE8F9959-0CE6-4E61-8345-9A541C8D4FBF}</author>
  </authors>
  <commentList>
    <comment ref="B4" authorId="0" shapeId="0" xr:uid="{0308F623-6593-4FA1-BB7D-93EC8D2C8B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Round a number to the nearest integer. </t>
      </text>
    </comment>
    <comment ref="B5" authorId="1" shapeId="0" xr:uid="{0D3BF9C3-9495-4F17-A5B8-EF83E7920E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Round a number to the nearest integer. </t>
      </text>
    </comment>
    <comment ref="E5" authorId="2" shapeId="0" xr:uid="{8D44CD62-9EEC-4B9F-AFCE-FAA0BD4416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INT (Integer) function rounds a number down to the nearest integer (negative numbers become more negative). </t>
      </text>
    </comment>
    <comment ref="B6" authorId="3" shapeId="0" xr:uid="{55F83981-81EF-4DE2-8BEA-3619B42472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Round a number to the nearest 10. </t>
      </text>
    </comment>
    <comment ref="E6" authorId="4" shapeId="0" xr:uid="{C78D1CC9-CAD5-48F8-B7B0-A334CDEB64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INT (Integer) function rounds a number down to the nearest integer (negative numbers become more negative). </t>
      </text>
    </comment>
    <comment ref="B7" authorId="5" shapeId="0" xr:uid="{0359734A-C1A3-4DBB-902D-983E99D2AB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Round a number to the nearest 10. </t>
      </text>
    </comment>
    <comment ref="E8" authorId="6" shapeId="0" xr:uid="{6726FFD8-3975-4B15-9D06-DED2CFC960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TRUNC (Truncate) function always chops off decimals. </t>
      </text>
    </comment>
    <comment ref="E9" authorId="7" shapeId="0" xr:uid="{B40D0306-88B3-4BEC-B2EB-78E6B0F470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TRUNC (Truncate) function always chops off decimals. </t>
      </text>
    </comment>
    <comment ref="E10" authorId="8" shapeId="0" xr:uid="{5830A4CD-BFFC-4F53-B88A-66A3DA9B4C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TRUNC (Truncate) function always chops off decimals. </t>
      </text>
    </comment>
    <comment ref="E11" authorId="9" shapeId="0" xr:uid="{AE8F9959-0CE6-4E61-8345-9A541C8D4F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TRUNC (Truncate) function always chops off decimals. </t>
      </text>
    </comment>
  </commentList>
</comment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"/>
    <numFmt numFmtId="176" formatCode="[$-F400]h:mm:ss\ AM/PM"/>
    <numFmt numFmtId="178" formatCode="[$-10409]hh:mm\ AM/PM;@"/>
  </numFmts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72" fontId="0" fillId="5" borderId="0" xfId="0" applyNumberForma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0" xfId="0" applyNumberFormat="1" applyFill="1"/>
    <xf numFmtId="0" fontId="0" fillId="11" borderId="0" xfId="0" applyFill="1"/>
    <xf numFmtId="0" fontId="0" fillId="12" borderId="0" xfId="0" applyFill="1"/>
    <xf numFmtId="178" fontId="0" fillId="12" borderId="0" xfId="0" applyNumberFormat="1" applyFill="1"/>
    <xf numFmtId="176" fontId="0" fillId="12" borderId="0" xfId="0" applyNumberFormat="1" applyFill="1"/>
    <xf numFmtId="0" fontId="0" fillId="0" borderId="0" xfId="0" applyFill="1"/>
    <xf numFmtId="2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vindparab09@outlook.com" id="{80A8B30F-E331-40D7-A98B-80B48C0F64C4}" userId="df817dbf12b6dcf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1-28T11:49:03.15" personId="{80A8B30F-E331-40D7-A98B-80B48C0F64C4}" id="{0308F623-6593-4FA1-BB7D-93EC8D2C8B6A}">
    <text xml:space="preserve">Round a number to the nearest integer. </text>
  </threadedComment>
  <threadedComment ref="B5" dT="2026-01-28T11:49:10.28" personId="{80A8B30F-E331-40D7-A98B-80B48C0F64C4}" id="{0D3BF9C3-9495-4F17-A5B8-EF83E7920E1E}">
    <text xml:space="preserve">Round a number to the nearest integer. </text>
  </threadedComment>
  <threadedComment ref="E5" dT="2026-01-28T12:18:39.99" personId="{80A8B30F-E331-40D7-A98B-80B48C0F64C4}" id="{8D44CD62-9EEC-4B9F-AFCE-FAA0BD441662}">
    <text xml:space="preserve">The INT (Integer) function rounds a number down to the nearest integer (negative numbers become more negative). </text>
  </threadedComment>
  <threadedComment ref="B6" dT="2026-01-28T11:50:37.09" personId="{80A8B30F-E331-40D7-A98B-80B48C0F64C4}" id="{55F83981-81EF-4DE2-8BEA-3619B424723E}">
    <text xml:space="preserve">Round a number to the nearest 10. </text>
  </threadedComment>
  <threadedComment ref="E6" dT="2026-01-28T12:18:49.45" personId="{80A8B30F-E331-40D7-A98B-80B48C0F64C4}" id="{C78D1CC9-CAD5-48F8-B7B0-A334CDEB6440}">
    <text xml:space="preserve">The INT (Integer) function rounds a number down to the nearest integer (negative numbers become more negative). </text>
  </threadedComment>
  <threadedComment ref="B7" dT="2026-01-28T11:50:42.11" personId="{80A8B30F-E331-40D7-A98B-80B48C0F64C4}" id="{0359734A-C1A3-4DBB-902D-983E99D2ABAC}">
    <text xml:space="preserve">Round a number to the nearest 10. </text>
  </threadedComment>
  <threadedComment ref="E8" dT="2026-01-28T12:19:35.24" personId="{80A8B30F-E331-40D7-A98B-80B48C0F64C4}" id="{6726FFD8-3975-4B15-9D06-DED2CFC96096}">
    <text xml:space="preserve">The TRUNC (Truncate) function always chops off decimals. </text>
  </threadedComment>
  <threadedComment ref="E9" dT="2026-01-28T12:20:50.33" personId="{80A8B30F-E331-40D7-A98B-80B48C0F64C4}" id="{B40D0306-88B3-4BEC-B2EB-78E6B0F470D8}">
    <text xml:space="preserve">The TRUNC (Truncate) function always chops off decimals. </text>
  </threadedComment>
  <threadedComment ref="E10" dT="2026-01-28T12:20:58.04" personId="{80A8B30F-E331-40D7-A98B-80B48C0F64C4}" id="{5830A4CD-BFFC-4F53-B88A-66A3DA9B4C29}">
    <text xml:space="preserve">The TRUNC (Truncate) function always chops off decimals. </text>
  </threadedComment>
  <threadedComment ref="E11" dT="2026-01-28T12:21:05.45" personId="{80A8B30F-E331-40D7-A98B-80B48C0F64C4}" id="{AE8F9959-0CE6-4E61-8345-9A541C8D4FBF}">
    <text xml:space="preserve">The TRUNC (Truncate) function always chops off decimals.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topLeftCell="A2" workbookViewId="0">
      <selection activeCell="O7" sqref="O7"/>
    </sheetView>
  </sheetViews>
  <sheetFormatPr defaultRowHeight="14.4" x14ac:dyDescent="0.3"/>
  <cols>
    <col min="4" max="4" width="11.5546875" bestFit="1" customWidth="1"/>
    <col min="10" max="11" width="15.44140625" bestFit="1" customWidth="1"/>
  </cols>
  <sheetData>
    <row r="1" spans="1:14" x14ac:dyDescent="0.3">
      <c r="A1">
        <v>114.7653</v>
      </c>
      <c r="B1">
        <f>ROUND(A1,3)</f>
        <v>114.765</v>
      </c>
    </row>
    <row r="2" spans="1:14" x14ac:dyDescent="0.3">
      <c r="A2" s="1">
        <v>114.4589</v>
      </c>
      <c r="B2" s="1">
        <f>ROUND(A2,3)</f>
        <v>114.459</v>
      </c>
      <c r="D2" s="4">
        <v>1342.6326300000001</v>
      </c>
      <c r="G2" s="8">
        <v>114.67323</v>
      </c>
      <c r="H2" s="8">
        <f>MROUND(G2,10)</f>
        <v>110</v>
      </c>
      <c r="J2" s="5">
        <v>637</v>
      </c>
      <c r="K2" s="5">
        <f>MOD(J2,10)</f>
        <v>7</v>
      </c>
      <c r="L2" s="15"/>
    </row>
    <row r="3" spans="1:14" x14ac:dyDescent="0.3">
      <c r="A3" s="1">
        <v>114.9999</v>
      </c>
      <c r="B3" s="1">
        <f>ROUND(A3,3)</f>
        <v>115</v>
      </c>
      <c r="G3" s="8">
        <v>114.67323</v>
      </c>
      <c r="H3" s="8">
        <f>MROUND(G3,5)</f>
        <v>115</v>
      </c>
      <c r="J3" s="15"/>
      <c r="K3" s="15"/>
      <c r="L3" s="15"/>
      <c r="M3" s="15"/>
    </row>
    <row r="4" spans="1:14" x14ac:dyDescent="0.3">
      <c r="A4" s="1">
        <v>114.4589</v>
      </c>
      <c r="B4" s="1">
        <f>ROUND(A4,0)</f>
        <v>114</v>
      </c>
      <c r="G4" s="8">
        <v>114.67323</v>
      </c>
      <c r="H4" s="8">
        <f>CEILING(G4,10)</f>
        <v>120</v>
      </c>
      <c r="J4" s="15"/>
      <c r="K4" s="15"/>
      <c r="L4" s="15"/>
      <c r="M4" s="15"/>
    </row>
    <row r="5" spans="1:14" x14ac:dyDescent="0.3">
      <c r="A5" s="1">
        <v>114.7261</v>
      </c>
      <c r="B5" s="1">
        <f>ROUND(A5,0)</f>
        <v>115</v>
      </c>
      <c r="D5" s="5">
        <v>114.67323</v>
      </c>
      <c r="E5" s="5">
        <f>INT(D5)</f>
        <v>114</v>
      </c>
      <c r="G5" s="8">
        <v>113.67323</v>
      </c>
      <c r="H5" s="8">
        <f>FLOOR(G5,2)</f>
        <v>112</v>
      </c>
      <c r="J5" s="12">
        <v>633.83484869999995</v>
      </c>
      <c r="K5" s="12">
        <f>MOD(J5,1)</f>
        <v>0.83484869999995226</v>
      </c>
      <c r="L5" s="15"/>
    </row>
    <row r="6" spans="1:14" x14ac:dyDescent="0.3">
      <c r="A6" s="1">
        <v>114.678</v>
      </c>
      <c r="B6" s="1">
        <f>ROUND(A6,-1)</f>
        <v>110</v>
      </c>
      <c r="D6" s="5">
        <v>-114.67323</v>
      </c>
      <c r="E6" s="5">
        <f>INT(D6)</f>
        <v>-115</v>
      </c>
      <c r="J6" s="15"/>
      <c r="K6" s="15"/>
      <c r="L6" s="15"/>
    </row>
    <row r="7" spans="1:14" x14ac:dyDescent="0.3">
      <c r="A7" s="1">
        <v>144.96799999999999</v>
      </c>
      <c r="B7" s="1">
        <f>ROUND(A7,-1)</f>
        <v>140</v>
      </c>
      <c r="G7" s="9">
        <v>40.630000000000003</v>
      </c>
      <c r="H7" s="9">
        <f>MROUND(G7,0.05)</f>
        <v>40.650000000000006</v>
      </c>
      <c r="J7" s="16"/>
      <c r="K7" s="16"/>
      <c r="L7" s="15"/>
    </row>
    <row r="8" spans="1:14" x14ac:dyDescent="0.3">
      <c r="D8" s="6">
        <v>114.67323</v>
      </c>
      <c r="E8" s="6">
        <f>TRUNC(D8)</f>
        <v>114</v>
      </c>
      <c r="G8" s="10">
        <v>40.630000000000003</v>
      </c>
      <c r="H8" s="10">
        <f>MROUND(G8,0.1)</f>
        <v>40.6</v>
      </c>
      <c r="J8" s="15"/>
      <c r="K8" s="13">
        <v>0.30069444444444443</v>
      </c>
      <c r="L8" s="14">
        <f>MROUND(K8,"0:15")</f>
        <v>0.30208333333333331</v>
      </c>
    </row>
    <row r="9" spans="1:14" x14ac:dyDescent="0.3">
      <c r="A9" s="2">
        <v>114.7653</v>
      </c>
      <c r="B9" s="2">
        <f>ROUNDUP(A9,3)</f>
        <v>114.76600000000001</v>
      </c>
      <c r="D9" s="6">
        <v>-114.67323</v>
      </c>
      <c r="E9" s="6">
        <f>TRUNC(D9)</f>
        <v>-114</v>
      </c>
      <c r="G9" s="10">
        <v>40.630000000000003</v>
      </c>
      <c r="H9" s="9">
        <f>MROUND(G9,0.25)</f>
        <v>40.75</v>
      </c>
      <c r="J9" s="15"/>
      <c r="K9" s="15"/>
      <c r="L9" s="15"/>
      <c r="M9" s="15"/>
    </row>
    <row r="10" spans="1:14" x14ac:dyDescent="0.3">
      <c r="A10" s="2">
        <v>114.4589</v>
      </c>
      <c r="B10" s="2">
        <f t="shared" ref="B10:B15" si="0">ROUNDUP(A10,3)</f>
        <v>114.459</v>
      </c>
      <c r="D10" s="6">
        <v>114.67323</v>
      </c>
      <c r="E10" s="6">
        <f>TRUNC(D10,2)</f>
        <v>114.67</v>
      </c>
      <c r="I10" s="15"/>
      <c r="J10" s="15"/>
      <c r="K10" s="15"/>
      <c r="L10" s="15"/>
      <c r="M10" s="15"/>
      <c r="N10" s="15"/>
    </row>
    <row r="11" spans="1:14" x14ac:dyDescent="0.3">
      <c r="A11" s="2">
        <v>114.9999</v>
      </c>
      <c r="B11" s="2">
        <f t="shared" si="0"/>
        <v>115</v>
      </c>
      <c r="D11" s="6">
        <v>-114.67323</v>
      </c>
      <c r="E11" s="6">
        <f>TRUNC(D11,1)</f>
        <v>-114.6</v>
      </c>
      <c r="I11" s="15"/>
      <c r="J11" s="15"/>
      <c r="K11" s="15"/>
      <c r="L11" s="15"/>
      <c r="M11" s="15"/>
      <c r="N11" s="15"/>
    </row>
    <row r="12" spans="1:14" x14ac:dyDescent="0.3">
      <c r="A12" s="2">
        <v>114.4589</v>
      </c>
      <c r="B12" s="2">
        <f>ROUNDUP(A12,0)</f>
        <v>115</v>
      </c>
      <c r="I12" s="15"/>
      <c r="J12" s="15"/>
      <c r="K12" s="15"/>
      <c r="L12" s="15"/>
      <c r="M12" s="15"/>
      <c r="N12" s="15"/>
    </row>
    <row r="13" spans="1:14" x14ac:dyDescent="0.3">
      <c r="A13" s="2">
        <v>114.7261</v>
      </c>
      <c r="B13" s="2">
        <f>ROUNDUP(A13,0)</f>
        <v>115</v>
      </c>
      <c r="D13" s="7">
        <v>114.63630000000001</v>
      </c>
      <c r="E13" s="7">
        <f>D13-TRUNC(D13)</f>
        <v>0.63630000000000564</v>
      </c>
      <c r="J13" s="15"/>
      <c r="K13" s="13">
        <v>0.30486111111111114</v>
      </c>
      <c r="L13" s="14">
        <f>MROUND(K13,"0:30")</f>
        <v>0.3125</v>
      </c>
    </row>
    <row r="14" spans="1:14" x14ac:dyDescent="0.3">
      <c r="A14" s="2">
        <v>114.678</v>
      </c>
      <c r="B14" s="2">
        <f>ROUNDUP(A14,-1)</f>
        <v>120</v>
      </c>
      <c r="J14" s="15"/>
    </row>
    <row r="15" spans="1:14" x14ac:dyDescent="0.3">
      <c r="A15" s="2">
        <v>144.96799999999999</v>
      </c>
      <c r="B15" s="2">
        <f>ROUNDUP(A15,-1)</f>
        <v>150</v>
      </c>
      <c r="J15" s="15"/>
    </row>
    <row r="16" spans="1:14" x14ac:dyDescent="0.3">
      <c r="D16" s="11">
        <v>141.56200000000001</v>
      </c>
      <c r="E16" s="11">
        <f>EVEN(D16)</f>
        <v>142</v>
      </c>
      <c r="F16" s="11" t="b">
        <f>ISEVEN(D16)</f>
        <v>0</v>
      </c>
      <c r="J16" s="15"/>
    </row>
    <row r="17" spans="1:6" x14ac:dyDescent="0.3">
      <c r="A17" s="1">
        <v>114.7653</v>
      </c>
      <c r="B17" s="1">
        <f>ROUNDDOWN(A17,3)</f>
        <v>114.765</v>
      </c>
      <c r="D17" s="11">
        <v>141.52199999999999</v>
      </c>
      <c r="E17" s="11">
        <f>ODD(D17)</f>
        <v>143</v>
      </c>
      <c r="F17" s="11" t="b">
        <f>ISODD(D17)</f>
        <v>1</v>
      </c>
    </row>
    <row r="18" spans="1:6" x14ac:dyDescent="0.3">
      <c r="A18" s="1">
        <v>114.4589</v>
      </c>
      <c r="B18" s="1">
        <f t="shared" ref="B18:B19" si="1">ROUNDDOWN(A18,3)</f>
        <v>114.458</v>
      </c>
      <c r="D18" s="11">
        <v>141</v>
      </c>
      <c r="E18" s="11">
        <f>ODD(D18)</f>
        <v>141</v>
      </c>
      <c r="F18" s="11"/>
    </row>
    <row r="19" spans="1:6" x14ac:dyDescent="0.3">
      <c r="A19" s="1">
        <v>114.9999</v>
      </c>
      <c r="B19" s="1">
        <f t="shared" si="1"/>
        <v>114.999</v>
      </c>
      <c r="D19" s="11">
        <v>-52.622</v>
      </c>
      <c r="E19" s="11">
        <f>EVEN(D19)</f>
        <v>-54</v>
      </c>
      <c r="F19" s="11" t="b">
        <f>ISEVEN(D19)</f>
        <v>1</v>
      </c>
    </row>
    <row r="20" spans="1:6" x14ac:dyDescent="0.3">
      <c r="A20" s="1">
        <v>114.4589</v>
      </c>
      <c r="B20" s="1">
        <f>ROUNDDOWN(A20,0)</f>
        <v>114</v>
      </c>
      <c r="D20" s="11">
        <v>-363.67320000000001</v>
      </c>
      <c r="E20" s="11">
        <f>ODD(D20)</f>
        <v>-365</v>
      </c>
      <c r="F20" s="11" t="b">
        <f>ISODD(D20)</f>
        <v>1</v>
      </c>
    </row>
    <row r="21" spans="1:6" x14ac:dyDescent="0.3">
      <c r="A21" s="1">
        <v>114.7261</v>
      </c>
      <c r="B21" s="1">
        <f>ROUNDDOWN(A21,0)</f>
        <v>114</v>
      </c>
      <c r="D21" s="11">
        <v>52</v>
      </c>
      <c r="E21" s="11">
        <f>EVEN(D21)</f>
        <v>52</v>
      </c>
      <c r="F21" s="11"/>
    </row>
    <row r="22" spans="1:6" x14ac:dyDescent="0.3">
      <c r="A22" s="1">
        <v>114.678</v>
      </c>
      <c r="B22" s="1">
        <f>ROUNDDOWN(A22,-1)</f>
        <v>110</v>
      </c>
      <c r="D22" s="11">
        <v>52</v>
      </c>
      <c r="E22" s="11">
        <f>ODD(D22)</f>
        <v>53</v>
      </c>
      <c r="F22" s="11"/>
    </row>
    <row r="23" spans="1:6" x14ac:dyDescent="0.3">
      <c r="A23" s="1">
        <v>144.96799999999999</v>
      </c>
      <c r="B23" s="1">
        <f>ROUNDDOWN(A23,-1)</f>
        <v>140</v>
      </c>
      <c r="D23" s="11">
        <v>-52</v>
      </c>
      <c r="E23" s="11">
        <f>EVEN(D23)</f>
        <v>-52</v>
      </c>
      <c r="F23" s="11"/>
    </row>
    <row r="24" spans="1:6" x14ac:dyDescent="0.3">
      <c r="D24" s="11">
        <v>-52</v>
      </c>
      <c r="E24" s="11">
        <f>ODD(D24)</f>
        <v>-53</v>
      </c>
      <c r="F24" s="11"/>
    </row>
    <row r="25" spans="1:6" x14ac:dyDescent="0.3">
      <c r="D25" s="11">
        <v>-51</v>
      </c>
      <c r="E25" s="11">
        <f>ODD(D25)</f>
        <v>-51</v>
      </c>
      <c r="F25" s="11"/>
    </row>
    <row r="26" spans="1:6" x14ac:dyDescent="0.3">
      <c r="A26" s="3">
        <v>114.67532</v>
      </c>
      <c r="B26" s="3">
        <f>ROUNDUP(A26,-2)</f>
        <v>200</v>
      </c>
    </row>
    <row r="27" spans="1:6" x14ac:dyDescent="0.3">
      <c r="A27" s="3">
        <v>114.67532</v>
      </c>
      <c r="B27" s="3">
        <f>ROUNDDOWN(A27,-2)</f>
        <v>100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2026-01-28T13:12:01Z</dcterms:modified>
</cp:coreProperties>
</file>