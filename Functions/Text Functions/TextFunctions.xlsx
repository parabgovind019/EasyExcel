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f817dbf12b6dcf0/Desktop/Text Functions/"/>
    </mc:Choice>
  </mc:AlternateContent>
  <xr:revisionPtr revIDLastSave="234" documentId="11_F25DC773A252ABDACC1048C9A1DF6BC05ADE58E5" xr6:coauthVersionLast="47" xr6:coauthVersionMax="47" xr10:uidLastSave="{C4BFB836-4361-4DA3-8A64-59A31AB876ED}"/>
  <bookViews>
    <workbookView xWindow="-108" yWindow="-108" windowWidth="23256" windowHeight="12456" xr2:uid="{00000000-000D-0000-FFFF-FFFF00000000}"/>
  </bookViews>
  <sheets>
    <sheet name="TextFunctions" sheetId="1" r:id="rId1"/>
  </sheets>
  <definedNames>
    <definedName name="Countries">TextFunctions!$K$16:$K$21</definedName>
    <definedName name="rank">TextFunctions!$L$16:$L$21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P22" i="1"/>
  <c r="W9" i="1"/>
  <c r="W8" i="1"/>
  <c r="V9" i="1"/>
  <c r="V8" i="1"/>
  <c r="P18" i="1"/>
  <c r="Q17" i="1"/>
  <c r="P17" i="1"/>
  <c r="P16" i="1"/>
  <c r="M16" i="1" a="1"/>
  <c r="M16" i="1" s="1"/>
  <c r="P12" i="1"/>
  <c r="P13" i="1"/>
  <c r="P11" i="1"/>
  <c r="O10" i="1"/>
  <c r="O9" i="1"/>
  <c r="K14" i="1"/>
  <c r="J14" i="1"/>
  <c r="L11" i="1"/>
  <c r="K11" i="1"/>
  <c r="U3" i="1"/>
  <c r="U2" i="1"/>
  <c r="U1" i="1"/>
  <c r="S1" i="1"/>
  <c r="R5" i="1"/>
  <c r="R4" i="1"/>
  <c r="R2" i="1"/>
  <c r="R3" i="1"/>
  <c r="R1" i="1"/>
  <c r="H11" i="1" a="1"/>
  <c r="H11" i="1" s="1"/>
  <c r="O7" i="1"/>
  <c r="K9" i="1"/>
  <c r="J9" i="1"/>
  <c r="I9" i="1"/>
  <c r="H6" i="1" a="1"/>
  <c r="H6" i="1" s="1"/>
  <c r="M5" i="1"/>
  <c r="K5" i="1"/>
  <c r="L5" i="1" s="1"/>
  <c r="I5" i="1"/>
  <c r="J5" i="1" s="1"/>
  <c r="H5" i="1"/>
  <c r="L2" i="1" a="1"/>
  <c r="L2" i="1" s="1"/>
  <c r="L3" i="1" a="1"/>
  <c r="L3" i="1" s="1"/>
  <c r="L1" i="1" a="1"/>
  <c r="L1" i="1" s="1"/>
  <c r="I2" i="1"/>
  <c r="I3" i="1"/>
  <c r="I1" i="1"/>
  <c r="H2" i="1"/>
  <c r="H3" i="1"/>
  <c r="H1" i="1"/>
  <c r="C13" i="1"/>
  <c r="B13" i="1"/>
  <c r="B11" i="1"/>
  <c r="B9" i="1"/>
  <c r="B7" i="1"/>
  <c r="B5" i="1"/>
  <c r="C2" i="1"/>
  <c r="C3" i="1"/>
  <c r="C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<sst xmlns="http://schemas.openxmlformats.org/spreadsheetml/2006/main" count="77" uniqueCount="61">
  <si>
    <t>Govind</t>
  </si>
  <si>
    <t>Parab</t>
  </si>
  <si>
    <t>Ruchi</t>
  </si>
  <si>
    <t>Rane</t>
  </si>
  <si>
    <t>Sahil</t>
  </si>
  <si>
    <t>Here in the city</t>
  </si>
  <si>
    <t>Twinkle Twinkle Little Star</t>
  </si>
  <si>
    <t>Govind, Parab</t>
  </si>
  <si>
    <t>Minal, Parab</t>
  </si>
  <si>
    <t>Harsh, Kotian</t>
  </si>
  <si>
    <t>parab</t>
  </si>
  <si>
    <t>Minal</t>
  </si>
  <si>
    <t>Harsh</t>
  </si>
  <si>
    <t>kotian</t>
  </si>
  <si>
    <t xml:space="preserve">How   are   you?  </t>
  </si>
  <si>
    <t xml:space="preserve">   I     am    fine   </t>
  </si>
  <si>
    <t>dog, cat, dog, cat, horse, dog, camel, dog</t>
  </si>
  <si>
    <t>dog</t>
  </si>
  <si>
    <t>star</t>
  </si>
  <si>
    <t>hamstar</t>
  </si>
  <si>
    <t>real</t>
  </si>
  <si>
    <t>staring</t>
  </si>
  <si>
    <t>star1</t>
  </si>
  <si>
    <t>dog, cat, camel, horse, dog</t>
  </si>
  <si>
    <t>dog, dog, camel, horse, dog</t>
  </si>
  <si>
    <t>Microsoft Excel 2026</t>
  </si>
  <si>
    <t>Microsoft Word 2026</t>
  </si>
  <si>
    <t>Microsoft Word Excel 2026</t>
  </si>
  <si>
    <t>Microsoft 2026</t>
  </si>
  <si>
    <t>Microsoft 12 2026</t>
  </si>
  <si>
    <t>govind</t>
  </si>
  <si>
    <t>govind PARAB</t>
  </si>
  <si>
    <t>horse, pw</t>
  </si>
  <si>
    <t>rat, rx</t>
  </si>
  <si>
    <t>Horse, PW</t>
  </si>
  <si>
    <t>cat, paw</t>
  </si>
  <si>
    <t>Rat, RX</t>
  </si>
  <si>
    <t>Cat, PAW</t>
  </si>
  <si>
    <t>Text imported from other applications may contain ASCII characters.</t>
  </si>
  <si>
    <t>The CLEAN function removes the first 32 non-printable ASCII characters (codes 0 through 31).</t>
  </si>
  <si>
    <t xml:space="preserve"> The CLEAN function below removes a non-printable character, CHAR(7).</t>
  </si>
  <si>
    <t>A
B
C</t>
  </si>
  <si>
    <t>student scored good marks</t>
  </si>
  <si>
    <t>Mr</t>
  </si>
  <si>
    <t>Vishal</t>
  </si>
  <si>
    <t>When using the CONCATENATE function, use the TEXT function to format numbers.</t>
  </si>
  <si>
    <t> use 0 to display the nearest integer value. Use 0.0 for one decimal place. Use 0.00 for two decimal places, etc.</t>
  </si>
  <si>
    <t>The beauty of the TEXTJOIN function is that it can ignore empty cells (if the second argument is set to TRUE).</t>
  </si>
  <si>
    <t>india</t>
  </si>
  <si>
    <t>russia</t>
  </si>
  <si>
    <t>china</t>
  </si>
  <si>
    <t>nepal</t>
  </si>
  <si>
    <t>pakistan</t>
  </si>
  <si>
    <t>sri lanka</t>
  </si>
  <si>
    <t>Hello</t>
  </si>
  <si>
    <t>abc-123</t>
  </si>
  <si>
    <t>india (38) area</t>
  </si>
  <si>
    <t>frog</t>
  </si>
  <si>
    <t>Frog</t>
  </si>
  <si>
    <t>If you know the text to be replaced, use the SUBSTITUTE function in Excel. If you know the position of the text to be replaced, use the REPLACE function.</t>
  </si>
  <si>
    <t>art-123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</si>
</sst>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Segoe U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Alignment="1">
      <alignment vertical="center" wrapText="1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9" borderId="0" xfId="0" applyFill="1" applyAlignment="1">
      <alignment wrapText="1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10" fontId="0" fillId="10" borderId="0" xfId="0" applyNumberFormat="1" applyFill="1"/>
    <xf numFmtId="0" fontId="1" fillId="0" borderId="0" xfId="0" applyFont="1"/>
    <xf numFmtId="0" fontId="0" fillId="11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topLeftCell="B1" workbookViewId="0">
      <selection activeCell="O22" sqref="O22:P23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tr">
        <f>A1&amp;" "&amp;B1</f>
        <v>Govind Parab</v>
      </c>
      <c r="D1" s="1"/>
      <c r="E1" s="1"/>
      <c r="G1" s="2" t="s">
        <v>7</v>
      </c>
      <c r="H1" s="2" t="str">
        <f>LEFT(G1,FIND(",",G1)-1)</f>
        <v>Govind</v>
      </c>
      <c r="I1" s="2" t="str">
        <f>RIGHT(G1,(LEN(G1)-FIND(",",G1)-1))</f>
        <v>Parab</v>
      </c>
      <c r="J1" s="2" t="s">
        <v>0</v>
      </c>
      <c r="K1" s="2" t="s">
        <v>10</v>
      </c>
      <c r="L1" s="2" t="str" cm="1">
        <f t="array" ref="L1:M1">_xlfn.TEXTSPLIT(G1,", ")</f>
        <v>Govind</v>
      </c>
      <c r="M1" s="2" t="str">
        <v>Parab</v>
      </c>
      <c r="O1" s="5" t="s">
        <v>18</v>
      </c>
      <c r="Q1" s="1" t="s">
        <v>25</v>
      </c>
      <c r="R1" s="1">
        <f>SEARCH("Microsoft * 2026",Q1)</f>
        <v>1</v>
      </c>
      <c r="S1" s="1">
        <f>SEARCH("20??",Q1)</f>
        <v>17</v>
      </c>
      <c r="T1" s="7" t="s">
        <v>0</v>
      </c>
      <c r="U1" s="7" t="str">
        <f>LOWER(T1)</f>
        <v>govind</v>
      </c>
      <c r="V1" s="2" t="s">
        <v>32</v>
      </c>
      <c r="W1" s="2" t="s">
        <v>34</v>
      </c>
    </row>
    <row r="2" spans="1:23" x14ac:dyDescent="0.3">
      <c r="A2" s="1" t="s">
        <v>2</v>
      </c>
      <c r="B2" s="1" t="s">
        <v>3</v>
      </c>
      <c r="C2" s="1" t="str">
        <f t="shared" ref="C2:C3" si="0">A2&amp;" "&amp;B2</f>
        <v>Ruchi Rane</v>
      </c>
      <c r="D2" s="1"/>
      <c r="E2" s="1"/>
      <c r="G2" s="2" t="s">
        <v>8</v>
      </c>
      <c r="H2" s="2" t="str">
        <f t="shared" ref="H2:H3" si="1">LEFT(G2,FIND(",",G2)-1)</f>
        <v>Minal</v>
      </c>
      <c r="I2" s="2" t="str">
        <f t="shared" ref="I2:I3" si="2">RIGHT(G2,(LEN(G2)-FIND(",",G2)-1))</f>
        <v>Parab</v>
      </c>
      <c r="J2" s="2" t="s">
        <v>11</v>
      </c>
      <c r="K2" s="2" t="s">
        <v>10</v>
      </c>
      <c r="L2" s="2" t="str" cm="1">
        <f t="array" ref="L2:M2">_xlfn.TEXTSPLIT(G2,", ")</f>
        <v>Minal</v>
      </c>
      <c r="M2" s="2" t="str">
        <v>Parab</v>
      </c>
      <c r="O2" s="5" t="s">
        <v>19</v>
      </c>
      <c r="Q2" s="1" t="s">
        <v>26</v>
      </c>
      <c r="R2" s="1">
        <f t="shared" ref="R2:R5" si="3">SEARCH("Microsoft * 2026",Q2)</f>
        <v>1</v>
      </c>
      <c r="T2" s="7" t="s">
        <v>30</v>
      </c>
      <c r="U2" s="7" t="str">
        <f>UPPER(T2)</f>
        <v>GOVIND</v>
      </c>
      <c r="V2" s="2" t="s">
        <v>33</v>
      </c>
      <c r="W2" s="2" t="s">
        <v>36</v>
      </c>
    </row>
    <row r="3" spans="1:23" x14ac:dyDescent="0.3">
      <c r="A3" s="1" t="s">
        <v>4</v>
      </c>
      <c r="B3" s="1" t="s">
        <v>1</v>
      </c>
      <c r="C3" s="1" t="str">
        <f t="shared" si="0"/>
        <v>Sahil Parab</v>
      </c>
      <c r="D3" s="1"/>
      <c r="E3" s="1"/>
      <c r="G3" s="2" t="s">
        <v>9</v>
      </c>
      <c r="H3" s="2" t="str">
        <f t="shared" si="1"/>
        <v>Harsh</v>
      </c>
      <c r="I3" s="2" t="str">
        <f t="shared" si="2"/>
        <v>Kotian</v>
      </c>
      <c r="J3" s="2" t="s">
        <v>12</v>
      </c>
      <c r="K3" s="2" t="s">
        <v>13</v>
      </c>
      <c r="L3" s="2" t="str" cm="1">
        <f t="array" ref="L3:M3">_xlfn.TEXTSPLIT(G3,", ")</f>
        <v>Harsh</v>
      </c>
      <c r="M3" s="2" t="str">
        <v>Kotian</v>
      </c>
      <c r="O3" s="5" t="s">
        <v>20</v>
      </c>
      <c r="Q3" s="1" t="s">
        <v>27</v>
      </c>
      <c r="R3" s="1">
        <f t="shared" si="3"/>
        <v>1</v>
      </c>
      <c r="T3" s="7" t="s">
        <v>31</v>
      </c>
      <c r="U3" s="7" t="str">
        <f>PROPER(T3)</f>
        <v>Govind Parab</v>
      </c>
      <c r="V3" s="2" t="s">
        <v>35</v>
      </c>
      <c r="W3" s="2" t="s">
        <v>37</v>
      </c>
    </row>
    <row r="4" spans="1:23" x14ac:dyDescent="0.3">
      <c r="A4" s="1"/>
      <c r="B4" s="1"/>
      <c r="C4" s="1"/>
      <c r="D4" s="1"/>
      <c r="E4" s="1"/>
      <c r="O4" s="5"/>
      <c r="Q4" s="1" t="s">
        <v>28</v>
      </c>
      <c r="R4" s="1" t="e">
        <f t="shared" si="3"/>
        <v>#VALUE!</v>
      </c>
    </row>
    <row r="5" spans="1:23" x14ac:dyDescent="0.3">
      <c r="A5" s="1" t="s">
        <v>5</v>
      </c>
      <c r="B5" s="1" t="str">
        <f>LEFT(A5,7)</f>
        <v>Here in</v>
      </c>
      <c r="C5" s="1"/>
      <c r="D5" s="1"/>
      <c r="E5" s="1"/>
      <c r="G5" s="3" t="s">
        <v>14</v>
      </c>
      <c r="H5" s="3">
        <f>LEN(G5)</f>
        <v>18</v>
      </c>
      <c r="I5" s="3" t="str">
        <f>TRIM(G5)</f>
        <v>How are you?</v>
      </c>
      <c r="J5" s="3">
        <f>LEN(I5)</f>
        <v>12</v>
      </c>
      <c r="K5" s="3" t="str">
        <f>SUBSTITUTE(G5," ","")</f>
        <v>Howareyou?</v>
      </c>
      <c r="L5" s="3">
        <f>LEN(K5)</f>
        <v>10</v>
      </c>
      <c r="M5" s="3">
        <f>LEN(TRIM(G5))-LEN(SUBSTITUTE(G5," ",""))+1</f>
        <v>3</v>
      </c>
      <c r="O5" s="5" t="s">
        <v>21</v>
      </c>
      <c r="Q5" s="1" t="s">
        <v>29</v>
      </c>
      <c r="R5" s="1">
        <f t="shared" si="3"/>
        <v>1</v>
      </c>
    </row>
    <row r="6" spans="1:23" x14ac:dyDescent="0.3">
      <c r="A6" s="1"/>
      <c r="B6" s="1"/>
      <c r="C6" s="1"/>
      <c r="D6" s="1"/>
      <c r="E6" s="1"/>
      <c r="G6" s="3" t="s">
        <v>15</v>
      </c>
      <c r="H6" s="4" cm="1">
        <f t="array" ref="H6">SUMPRODUCT(LEN(TRIM(G5:G6))-LEN(SUBSTITUTE(G5:G6," ",""))+1)</f>
        <v>6</v>
      </c>
      <c r="O6" s="5" t="s">
        <v>22</v>
      </c>
    </row>
    <row r="7" spans="1:23" x14ac:dyDescent="0.3">
      <c r="A7" s="1" t="s">
        <v>5</v>
      </c>
      <c r="B7" s="1" t="str">
        <f>RIGHT(A7,8)</f>
        <v>the city</v>
      </c>
      <c r="C7" s="1"/>
      <c r="D7" s="1"/>
      <c r="E7" s="1"/>
      <c r="O7" s="5">
        <f>COUNTIF(O1:O6,"*star*")</f>
        <v>4</v>
      </c>
      <c r="Q7" s="8"/>
    </row>
    <row r="8" spans="1:23" x14ac:dyDescent="0.3">
      <c r="A8" s="1"/>
      <c r="B8" s="1"/>
      <c r="C8" s="1"/>
      <c r="D8" s="1"/>
      <c r="E8" s="1"/>
      <c r="Q8" s="8"/>
      <c r="T8" s="17" t="s">
        <v>57</v>
      </c>
      <c r="U8" s="17" t="s">
        <v>57</v>
      </c>
      <c r="V8" s="17" t="b">
        <f>EXACT(T8,U8)</f>
        <v>1</v>
      </c>
      <c r="W8" s="17" t="b">
        <f>T8=U8</f>
        <v>1</v>
      </c>
    </row>
    <row r="9" spans="1:23" x14ac:dyDescent="0.3">
      <c r="A9" s="1" t="s">
        <v>5</v>
      </c>
      <c r="B9" s="1" t="str">
        <f>MID(A9,6,6)</f>
        <v>in the</v>
      </c>
      <c r="C9" s="1"/>
      <c r="D9" s="1"/>
      <c r="E9" s="1"/>
      <c r="G9" s="5" t="s">
        <v>16</v>
      </c>
      <c r="H9" s="5" t="s">
        <v>17</v>
      </c>
      <c r="I9" s="5">
        <f>LEN(G9)</f>
        <v>42</v>
      </c>
      <c r="J9" s="5">
        <f>LEN(SUBSTITUTE(G9,H9,""))</f>
        <v>30</v>
      </c>
      <c r="K9" s="5">
        <f>(LEN(G9)-LEN(SUBSTITUTE(G9,H9,"")))/LEN(H9)</f>
        <v>4</v>
      </c>
      <c r="M9" s="15">
        <v>0.93859999999999999</v>
      </c>
      <c r="N9" s="14" t="s">
        <v>42</v>
      </c>
      <c r="O9" s="14" t="str">
        <f>_xlfn.CONCAT(M9,N9)</f>
        <v>0.9386student scored good marks</v>
      </c>
      <c r="P9" s="14"/>
      <c r="Q9" s="14"/>
      <c r="R9" s="14"/>
      <c r="T9" s="17" t="s">
        <v>58</v>
      </c>
      <c r="U9" s="17" t="s">
        <v>57</v>
      </c>
      <c r="V9" s="17" t="b">
        <f>EXACT(T9,U9)</f>
        <v>0</v>
      </c>
      <c r="W9" s="17" t="b">
        <f>T9=U9</f>
        <v>1</v>
      </c>
    </row>
    <row r="10" spans="1:23" x14ac:dyDescent="0.3">
      <c r="A10" s="1"/>
      <c r="B10" s="1"/>
      <c r="C10" s="1"/>
      <c r="D10" s="1"/>
      <c r="E10" s="1"/>
      <c r="M10" s="14"/>
      <c r="N10" s="14"/>
      <c r="O10" s="14" t="str">
        <f>_xlfn.CONCAT(TEXT(M9,"0%")," ",N9)</f>
        <v>94% student scored good marks</v>
      </c>
      <c r="P10" s="14"/>
      <c r="Q10" s="14"/>
      <c r="R10" s="14"/>
    </row>
    <row r="11" spans="1:23" ht="43.2" x14ac:dyDescent="0.3">
      <c r="A11" s="1" t="s">
        <v>5</v>
      </c>
      <c r="B11" s="1">
        <f>LEN(A11)</f>
        <v>16</v>
      </c>
      <c r="C11" s="1"/>
      <c r="D11" s="1"/>
      <c r="E11" s="1"/>
      <c r="G11" s="6" t="s">
        <v>23</v>
      </c>
      <c r="H11" s="6" cm="1">
        <f t="array" ref="H11">SUMPRODUCT(LEN(G11:G12)-LEN(SUBSTITUTE(G11:G12,H9,"")))/LEN(H9)</f>
        <v>5</v>
      </c>
      <c r="I11" s="6"/>
      <c r="J11" s="11" t="s">
        <v>41</v>
      </c>
      <c r="K11" s="12" t="str">
        <f>CLEAN(J11)</f>
        <v>ABC</v>
      </c>
      <c r="L11" t="str">
        <f>SUBSTITUTE(J11,CHAR(10),",")</f>
        <v>A,B,C</v>
      </c>
      <c r="M11" s="1" t="s">
        <v>43</v>
      </c>
      <c r="N11" s="1" t="s">
        <v>0</v>
      </c>
      <c r="O11" s="1" t="s">
        <v>1</v>
      </c>
      <c r="P11" s="1" t="str">
        <f>_xlfn.TEXTJOIN(" ",TRUE,M11,N11,O11)</f>
        <v>Mr Govind Parab</v>
      </c>
      <c r="Q11" s="1"/>
    </row>
    <row r="12" spans="1:23" x14ac:dyDescent="0.3">
      <c r="A12" s="1"/>
      <c r="B12" s="1"/>
      <c r="C12" s="1"/>
      <c r="D12" s="1"/>
      <c r="E12" s="1"/>
      <c r="G12" s="6" t="s">
        <v>24</v>
      </c>
      <c r="H12" s="6"/>
      <c r="I12" s="6"/>
      <c r="M12" s="1"/>
      <c r="N12" s="1" t="s">
        <v>11</v>
      </c>
      <c r="O12" s="1" t="s">
        <v>1</v>
      </c>
      <c r="P12" s="1" t="str">
        <f t="shared" ref="P12:P13" si="4">_xlfn.TEXTJOIN(" ",TRUE,M12,N12,O12)</f>
        <v>Minal Parab</v>
      </c>
      <c r="Q12" s="1"/>
    </row>
    <row r="13" spans="1:23" x14ac:dyDescent="0.3">
      <c r="A13" s="1" t="s">
        <v>6</v>
      </c>
      <c r="B13" s="1" t="str">
        <f>SUBSTITUTE(A13,"Twinkle","Blinking")</f>
        <v>Blinking Blinking Little Star</v>
      </c>
      <c r="C13" s="1" t="str">
        <f>SUBSTITUTE(A13,"Twinkle","Blinking",1)</f>
        <v>Blinking Twinkle Little Star</v>
      </c>
      <c r="D13" s="1"/>
      <c r="E13" s="1"/>
      <c r="J13" s="10"/>
      <c r="M13" s="1" t="s">
        <v>43</v>
      </c>
      <c r="N13" s="1" t="s">
        <v>44</v>
      </c>
      <c r="O13" s="1" t="s">
        <v>3</v>
      </c>
      <c r="P13" s="1" t="str">
        <f t="shared" si="4"/>
        <v>Mr Vishal Rane</v>
      </c>
      <c r="Q13" s="1"/>
    </row>
    <row r="14" spans="1:23" x14ac:dyDescent="0.3">
      <c r="J14" s="13" t="str">
        <f>CHAR(182)</f>
        <v>¶</v>
      </c>
      <c r="K14" s="14" t="str">
        <f>SUBSTITUTE(J14,CHAR(182),"Changed")</f>
        <v>Changed</v>
      </c>
    </row>
    <row r="15" spans="1:23" x14ac:dyDescent="0.3">
      <c r="A15" s="9" t="s">
        <v>39</v>
      </c>
      <c r="B15" s="9"/>
      <c r="C15" s="9"/>
      <c r="D15" s="9"/>
      <c r="E15" s="9"/>
      <c r="F15" s="9"/>
      <c r="G15" s="9"/>
      <c r="H15" s="9"/>
      <c r="I15" s="9"/>
    </row>
    <row r="16" spans="1:23" x14ac:dyDescent="0.3">
      <c r="A16" s="9" t="s">
        <v>40</v>
      </c>
      <c r="B16" s="9"/>
      <c r="C16" s="9"/>
      <c r="D16" s="9"/>
      <c r="E16" s="9"/>
      <c r="F16" s="9"/>
      <c r="G16" s="9"/>
      <c r="H16" s="9"/>
      <c r="I16" s="9"/>
      <c r="J16" s="10"/>
      <c r="K16" s="17" t="s">
        <v>48</v>
      </c>
      <c r="L16" s="17">
        <v>1</v>
      </c>
      <c r="M16" s="17" t="str" cm="1">
        <f t="array" ref="M16">_xlfn.TEXTJOIN(", ",TRUE,IF(rank = 1,Countries,""))</f>
        <v>india, nepal</v>
      </c>
      <c r="O16" s="1" t="s">
        <v>54</v>
      </c>
      <c r="P16" s="17" t="str">
        <f>SUBSTITUTE(O16,"ll",REPT("n",50))</f>
        <v>Hennnnnnnnnnnnnnnnnnnnnnnnnnnnnnnnnnnnnnnnnnnnnnnnnno</v>
      </c>
    </row>
    <row r="17" spans="1:17" x14ac:dyDescent="0.3">
      <c r="A17" s="9" t="s">
        <v>38</v>
      </c>
      <c r="B17" s="9"/>
      <c r="C17" s="9"/>
      <c r="D17" s="9"/>
      <c r="E17" s="9"/>
      <c r="F17" s="9"/>
      <c r="G17" s="9"/>
      <c r="H17" s="9"/>
      <c r="I17" s="9"/>
      <c r="J17" s="10"/>
      <c r="K17" s="17" t="s">
        <v>49</v>
      </c>
      <c r="L17" s="17">
        <v>2</v>
      </c>
      <c r="M17" s="17"/>
      <c r="O17" s="1" t="s">
        <v>55</v>
      </c>
      <c r="P17" s="17" t="str">
        <f>_xlfn.TEXTBEFORE(O17,"-")</f>
        <v>abc</v>
      </c>
      <c r="Q17" s="17" t="str">
        <f>_xlfn.TEXTAFTER(O17,"-")</f>
        <v>123</v>
      </c>
    </row>
    <row r="18" spans="1:17" x14ac:dyDescent="0.3">
      <c r="K18" s="17" t="s">
        <v>50</v>
      </c>
      <c r="L18" s="17">
        <v>3</v>
      </c>
      <c r="M18" s="17"/>
      <c r="O18" s="1" t="s">
        <v>56</v>
      </c>
      <c r="P18" s="17" t="str">
        <f>_xlfn.TEXTBEFORE(_xlfn.TEXTAFTER(O18,"("),")")</f>
        <v>38</v>
      </c>
    </row>
    <row r="19" spans="1:17" x14ac:dyDescent="0.3">
      <c r="K19" s="17" t="s">
        <v>51</v>
      </c>
      <c r="L19" s="17">
        <v>1</v>
      </c>
      <c r="M19" s="17"/>
    </row>
    <row r="20" spans="1:17" x14ac:dyDescent="0.3">
      <c r="A20" s="16" t="s">
        <v>45</v>
      </c>
      <c r="K20" s="17" t="s">
        <v>52</v>
      </c>
      <c r="L20" s="17">
        <v>2</v>
      </c>
      <c r="M20" s="17"/>
    </row>
    <row r="21" spans="1:17" x14ac:dyDescent="0.3">
      <c r="A21" s="16" t="s">
        <v>46</v>
      </c>
      <c r="K21" s="17" t="s">
        <v>53</v>
      </c>
      <c r="L21" s="17">
        <v>3</v>
      </c>
      <c r="M21" s="17"/>
    </row>
    <row r="22" spans="1:17" x14ac:dyDescent="0.3">
      <c r="A22" s="16" t="s">
        <v>47</v>
      </c>
      <c r="O22" s="17" t="s">
        <v>60</v>
      </c>
      <c r="P22" s="17" t="str">
        <f>SUBSTITUTE(O22,"-","")</f>
        <v>art123</v>
      </c>
    </row>
    <row r="23" spans="1:17" x14ac:dyDescent="0.3">
      <c r="O23" s="17" t="s">
        <v>60</v>
      </c>
      <c r="P23" s="17" t="str">
        <f>REPLACE(O23,4,3,"")</f>
        <v>art3</v>
      </c>
    </row>
    <row r="24" spans="1:17" x14ac:dyDescent="0.3">
      <c r="B24" s="18" t="s">
        <v>59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</sheetData>
  <mergeCells count="4">
    <mergeCell ref="A15:I15"/>
    <mergeCell ref="A16:I16"/>
    <mergeCell ref="A17:I17"/>
    <mergeCell ref="B24:N2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TextFunctions</vt:lpstr>
      <vt:lpstr>Countries</vt:lpstr>
      <vt:lpstr>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</dc:creator>
  <cp:lastModifiedBy>govindparab09@outlook.com</cp:lastModifiedBy>
  <dcterms:created xsi:type="dcterms:W3CDTF">2015-06-05T18:17:20Z</dcterms:created>
  <dcterms:modified xsi:type="dcterms:W3CDTF">2026-01-27T13:26:34Z</dcterms:modified>
</cp:coreProperties>
</file>