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Sort/"/>
    </mc:Choice>
  </mc:AlternateContent>
  <xr:revisionPtr revIDLastSave="103" documentId="11_581401FAC7756184C4B7565DA0FEC9EAF0E1BF94" xr6:coauthVersionLast="47" xr6:coauthVersionMax="47" xr10:uidLastSave="{B2606C69-A38E-42DA-A140-A454B1458375}"/>
  <bookViews>
    <workbookView xWindow="-108" yWindow="-108" windowWidth="23256" windowHeight="12456" activeTab="1" xr2:uid="{00000000-000D-0000-FFFF-FFFF00000000}"/>
  </bookViews>
  <sheets>
    <sheet name="Sort" sheetId="1" r:id="rId1"/>
    <sheet name="Ra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3" l="1" a="1"/>
  <c r="E1" i="3" s="1"/>
  <c r="B2" i="3"/>
  <c r="B6" i="3"/>
  <c r="B4" i="3"/>
  <c r="B3" i="3"/>
  <c r="B1" i="3"/>
  <c r="B7" i="3"/>
  <c r="B8" i="3"/>
  <c r="B5" i="3"/>
  <c r="AB19" i="1" a="1"/>
  <c r="AB19" i="1" s="1"/>
  <c r="W35" i="1" a="1"/>
  <c r="W35" i="1" s="1"/>
  <c r="W19" i="1" a="1"/>
  <c r="W19" i="1" s="1"/>
  <c r="P18" i="1" a="1"/>
  <c r="P18" i="1" s="1"/>
  <c r="O18" i="1" a="1"/>
  <c r="O18" i="1" s="1"/>
  <c r="G1" i="3" l="1" a="1"/>
  <c r="G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<sst xmlns="http://schemas.openxmlformats.org/spreadsheetml/2006/main" count="381" uniqueCount="39">
  <si>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</si>
  <si>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</si>
  <si>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</si>
  <si>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</si>
  <si>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</si>
  <si>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</si>
  <si>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</si>
  <si>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</si>
  <si>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</si>
  <si>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</si>
  <si>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</si>
  <si>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</si>
  <si>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</si>
  <si>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</si>
  <si>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</si>
  <si>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</si>
  <si>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high</t>
  </si>
  <si>
    <t>Medium</t>
  </si>
  <si>
    <t>Low</t>
  </si>
  <si>
    <t>Sum</t>
  </si>
  <si>
    <t>Average</t>
  </si>
  <si>
    <t>Running Total</t>
  </si>
  <si>
    <t>Count</t>
  </si>
  <si>
    <t>India</t>
  </si>
  <si>
    <t>Russia</t>
  </si>
  <si>
    <t>China</t>
  </si>
  <si>
    <t>Nepal</t>
  </si>
  <si>
    <t>Pakistan</t>
  </si>
  <si>
    <t>Sri Lanka</t>
  </si>
  <si>
    <t>Bhutan</t>
  </si>
  <si>
    <t>Bangladesh</t>
  </si>
  <si>
    <t>india</t>
  </si>
  <si>
    <t>russia</t>
  </si>
  <si>
    <t>china</t>
  </si>
  <si>
    <t>nepal</t>
  </si>
  <si>
    <t>pakistan</t>
  </si>
  <si>
    <t>sri lanka</t>
  </si>
  <si>
    <t>bhutan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</si>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</sst>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164" fontId="0" fillId="2" borderId="0" xfId="0" applyNumberFormat="1" applyFill="1"/>
    <xf numFmtId="0" fontId="0" fillId="4" borderId="0" xfId="0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ont="1" applyFill="1"/>
    <xf numFmtId="0" fontId="0" fillId="5" borderId="0" xfId="0" applyNumberFormat="1" applyFill="1"/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opLeftCell="J1" workbookViewId="0">
      <selection activeCell="AE34" sqref="AE34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7.88671875" bestFit="1" customWidth="1"/>
    <col min="7" max="7" width="11.21875" customWidth="1"/>
    <col min="12" max="12" width="10.6640625" customWidth="1"/>
    <col min="17" max="17" width="10" customWidth="1"/>
    <col min="19" max="19" width="11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1" t="s">
        <v>1</v>
      </c>
      <c r="M1" s="1" t="s">
        <v>2</v>
      </c>
      <c r="N1" s="1" t="s">
        <v>3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15</v>
      </c>
    </row>
    <row r="2" spans="1:20" x14ac:dyDescent="0.3">
      <c r="A2" t="s">
        <v>13</v>
      </c>
      <c r="B2" s="2">
        <v>4865</v>
      </c>
      <c r="C2" t="s">
        <v>8</v>
      </c>
      <c r="D2" t="s">
        <v>9</v>
      </c>
      <c r="F2" t="s">
        <v>10</v>
      </c>
      <c r="G2" s="2">
        <v>10644</v>
      </c>
      <c r="H2" t="s">
        <v>5</v>
      </c>
      <c r="I2" t="s">
        <v>11</v>
      </c>
      <c r="K2" t="s">
        <v>13</v>
      </c>
      <c r="L2" s="2">
        <v>4865</v>
      </c>
      <c r="M2" t="s">
        <v>8</v>
      </c>
      <c r="N2" t="s">
        <v>9</v>
      </c>
      <c r="P2" t="s">
        <v>13</v>
      </c>
      <c r="Q2" s="2">
        <v>4865</v>
      </c>
      <c r="R2" t="s">
        <v>8</v>
      </c>
      <c r="S2" t="s">
        <v>9</v>
      </c>
      <c r="T2" t="s">
        <v>16</v>
      </c>
    </row>
    <row r="3" spans="1:20" x14ac:dyDescent="0.3">
      <c r="A3" t="s">
        <v>13</v>
      </c>
      <c r="B3" s="2">
        <v>3255</v>
      </c>
      <c r="C3" t="s">
        <v>8</v>
      </c>
      <c r="D3" t="s">
        <v>11</v>
      </c>
      <c r="F3" t="s">
        <v>10</v>
      </c>
      <c r="G3" s="2">
        <v>12438</v>
      </c>
      <c r="H3" t="s">
        <v>5</v>
      </c>
      <c r="I3" t="s">
        <v>14</v>
      </c>
      <c r="K3" t="s">
        <v>13</v>
      </c>
      <c r="L3" s="2">
        <v>3255</v>
      </c>
      <c r="M3" t="s">
        <v>8</v>
      </c>
      <c r="N3" t="s">
        <v>11</v>
      </c>
      <c r="P3" t="s">
        <v>7</v>
      </c>
      <c r="Q3" s="2">
        <v>9339</v>
      </c>
      <c r="R3" t="s">
        <v>5</v>
      </c>
      <c r="S3" t="s">
        <v>11</v>
      </c>
      <c r="T3" t="s">
        <v>16</v>
      </c>
    </row>
    <row r="4" spans="1:20" x14ac:dyDescent="0.3">
      <c r="A4" t="s">
        <v>7</v>
      </c>
      <c r="B4" s="2">
        <v>14808</v>
      </c>
      <c r="C4" t="s">
        <v>8</v>
      </c>
      <c r="D4" t="s">
        <v>9</v>
      </c>
      <c r="F4" t="s">
        <v>10</v>
      </c>
      <c r="G4" s="2">
        <v>14867</v>
      </c>
      <c r="H4" t="s">
        <v>8</v>
      </c>
      <c r="I4" t="s">
        <v>6</v>
      </c>
      <c r="K4" t="s">
        <v>7</v>
      </c>
      <c r="L4" s="2">
        <v>14808</v>
      </c>
      <c r="M4" t="s">
        <v>8</v>
      </c>
      <c r="N4" t="s">
        <v>9</v>
      </c>
      <c r="P4" t="s">
        <v>12</v>
      </c>
      <c r="Q4" s="2">
        <v>1390</v>
      </c>
      <c r="R4" t="s">
        <v>8</v>
      </c>
      <c r="S4" t="s">
        <v>6</v>
      </c>
      <c r="T4" t="s">
        <v>16</v>
      </c>
    </row>
    <row r="5" spans="1:20" x14ac:dyDescent="0.3">
      <c r="A5" t="s">
        <v>7</v>
      </c>
      <c r="B5" s="2">
        <v>9339</v>
      </c>
      <c r="C5" t="s">
        <v>5</v>
      </c>
      <c r="D5" t="s">
        <v>11</v>
      </c>
      <c r="F5" t="s">
        <v>10</v>
      </c>
      <c r="G5" s="2">
        <v>19302</v>
      </c>
      <c r="H5" t="s">
        <v>5</v>
      </c>
      <c r="I5" t="s">
        <v>9</v>
      </c>
      <c r="K5" t="s">
        <v>7</v>
      </c>
      <c r="L5" s="2">
        <v>9339</v>
      </c>
      <c r="M5" t="s">
        <v>5</v>
      </c>
      <c r="N5" t="s">
        <v>11</v>
      </c>
      <c r="P5" t="s">
        <v>4</v>
      </c>
      <c r="Q5" s="2">
        <v>9698</v>
      </c>
      <c r="R5" t="s">
        <v>8</v>
      </c>
      <c r="S5" t="s">
        <v>14</v>
      </c>
      <c r="T5" t="s">
        <v>16</v>
      </c>
    </row>
    <row r="6" spans="1:20" x14ac:dyDescent="0.3">
      <c r="A6" t="s">
        <v>12</v>
      </c>
      <c r="B6" s="2">
        <v>1390</v>
      </c>
      <c r="C6" t="s">
        <v>8</v>
      </c>
      <c r="D6" t="s">
        <v>6</v>
      </c>
      <c r="F6" t="s">
        <v>4</v>
      </c>
      <c r="G6" s="2">
        <v>16753</v>
      </c>
      <c r="H6" t="s">
        <v>5</v>
      </c>
      <c r="I6" t="s">
        <v>6</v>
      </c>
      <c r="K6" t="s">
        <v>12</v>
      </c>
      <c r="L6" s="2">
        <v>9213</v>
      </c>
      <c r="M6" t="s">
        <v>8</v>
      </c>
      <c r="N6" t="s">
        <v>9</v>
      </c>
      <c r="P6" t="s">
        <v>10</v>
      </c>
      <c r="Q6" s="2">
        <v>12438</v>
      </c>
      <c r="R6" t="s">
        <v>5</v>
      </c>
      <c r="S6" t="s">
        <v>14</v>
      </c>
      <c r="T6" t="s">
        <v>16</v>
      </c>
    </row>
    <row r="7" spans="1:20" x14ac:dyDescent="0.3">
      <c r="A7" t="s">
        <v>12</v>
      </c>
      <c r="B7" s="2">
        <v>9213</v>
      </c>
      <c r="C7" t="s">
        <v>8</v>
      </c>
      <c r="D7" t="s">
        <v>9</v>
      </c>
      <c r="F7" t="s">
        <v>4</v>
      </c>
      <c r="G7" s="2">
        <v>18919</v>
      </c>
      <c r="H7" t="s">
        <v>8</v>
      </c>
      <c r="I7" t="s">
        <v>6</v>
      </c>
      <c r="K7" t="s">
        <v>12</v>
      </c>
      <c r="L7" s="2">
        <v>7433</v>
      </c>
      <c r="M7" t="s">
        <v>5</v>
      </c>
      <c r="N7" t="s">
        <v>14</v>
      </c>
      <c r="P7" t="s">
        <v>13</v>
      </c>
      <c r="Q7" s="2">
        <v>3255</v>
      </c>
      <c r="R7" t="s">
        <v>8</v>
      </c>
      <c r="S7" t="s">
        <v>11</v>
      </c>
      <c r="T7" t="s">
        <v>17</v>
      </c>
    </row>
    <row r="8" spans="1:20" x14ac:dyDescent="0.3">
      <c r="A8" t="s">
        <v>12</v>
      </c>
      <c r="B8" s="2">
        <v>7433</v>
      </c>
      <c r="C8" t="s">
        <v>5</v>
      </c>
      <c r="D8" t="s">
        <v>14</v>
      </c>
      <c r="F8" t="s">
        <v>4</v>
      </c>
      <c r="G8" s="2">
        <v>9698</v>
      </c>
      <c r="H8" t="s">
        <v>8</v>
      </c>
      <c r="I8" t="s">
        <v>14</v>
      </c>
      <c r="K8" t="s">
        <v>12</v>
      </c>
      <c r="L8" s="2">
        <v>1390</v>
      </c>
      <c r="M8" t="s">
        <v>8</v>
      </c>
      <c r="N8" t="s">
        <v>6</v>
      </c>
      <c r="P8" t="s">
        <v>12</v>
      </c>
      <c r="Q8" s="2">
        <v>9213</v>
      </c>
      <c r="R8" t="s">
        <v>8</v>
      </c>
      <c r="S8" t="s">
        <v>9</v>
      </c>
      <c r="T8" t="s">
        <v>17</v>
      </c>
    </row>
    <row r="9" spans="1:20" x14ac:dyDescent="0.3">
      <c r="A9" t="s">
        <v>4</v>
      </c>
      <c r="B9" s="2">
        <v>16753</v>
      </c>
      <c r="C9" t="s">
        <v>5</v>
      </c>
      <c r="D9" t="s">
        <v>6</v>
      </c>
      <c r="F9" t="s">
        <v>12</v>
      </c>
      <c r="G9" s="2">
        <v>1390</v>
      </c>
      <c r="H9" t="s">
        <v>8</v>
      </c>
      <c r="I9" t="s">
        <v>6</v>
      </c>
      <c r="K9" t="s">
        <v>4</v>
      </c>
      <c r="L9" s="2">
        <v>18919</v>
      </c>
      <c r="M9" t="s">
        <v>8</v>
      </c>
      <c r="N9" t="s">
        <v>6</v>
      </c>
      <c r="P9" t="s">
        <v>4</v>
      </c>
      <c r="Q9" s="2">
        <v>18919</v>
      </c>
      <c r="R9" t="s">
        <v>8</v>
      </c>
      <c r="S9" t="s">
        <v>6</v>
      </c>
      <c r="T9" t="s">
        <v>17</v>
      </c>
    </row>
    <row r="10" spans="1:20" x14ac:dyDescent="0.3">
      <c r="A10" t="s">
        <v>4</v>
      </c>
      <c r="B10" s="2">
        <v>18919</v>
      </c>
      <c r="C10" t="s">
        <v>8</v>
      </c>
      <c r="D10" t="s">
        <v>6</v>
      </c>
      <c r="F10" t="s">
        <v>12</v>
      </c>
      <c r="G10" s="2">
        <v>9213</v>
      </c>
      <c r="H10" t="s">
        <v>8</v>
      </c>
      <c r="I10" t="s">
        <v>9</v>
      </c>
      <c r="K10" t="s">
        <v>4</v>
      </c>
      <c r="L10" s="2">
        <v>16753</v>
      </c>
      <c r="M10" t="s">
        <v>5</v>
      </c>
      <c r="N10" t="s">
        <v>6</v>
      </c>
      <c r="P10" t="s">
        <v>10</v>
      </c>
      <c r="Q10" s="2">
        <v>19302</v>
      </c>
      <c r="R10" t="s">
        <v>5</v>
      </c>
      <c r="S10" t="s">
        <v>9</v>
      </c>
      <c r="T10" t="s">
        <v>17</v>
      </c>
    </row>
    <row r="11" spans="1:20" x14ac:dyDescent="0.3">
      <c r="A11" t="s">
        <v>4</v>
      </c>
      <c r="B11" s="2">
        <v>9698</v>
      </c>
      <c r="C11" t="s">
        <v>8</v>
      </c>
      <c r="D11" t="s">
        <v>14</v>
      </c>
      <c r="F11" t="s">
        <v>12</v>
      </c>
      <c r="G11" s="2">
        <v>7433</v>
      </c>
      <c r="H11" t="s">
        <v>5</v>
      </c>
      <c r="I11" t="s">
        <v>14</v>
      </c>
      <c r="K11" t="s">
        <v>4</v>
      </c>
      <c r="L11" s="2">
        <v>9698</v>
      </c>
      <c r="M11" t="s">
        <v>8</v>
      </c>
      <c r="N11" t="s">
        <v>14</v>
      </c>
      <c r="P11" t="s">
        <v>10</v>
      </c>
      <c r="Q11" s="2">
        <v>10644</v>
      </c>
      <c r="R11" t="s">
        <v>5</v>
      </c>
      <c r="S11" t="s">
        <v>11</v>
      </c>
      <c r="T11" t="s">
        <v>17</v>
      </c>
    </row>
    <row r="12" spans="1:20" x14ac:dyDescent="0.3">
      <c r="A12" t="s">
        <v>10</v>
      </c>
      <c r="B12" s="2">
        <v>10644</v>
      </c>
      <c r="C12" t="s">
        <v>5</v>
      </c>
      <c r="D12" t="s">
        <v>11</v>
      </c>
      <c r="F12" t="s">
        <v>7</v>
      </c>
      <c r="G12" s="2">
        <v>14808</v>
      </c>
      <c r="H12" t="s">
        <v>8</v>
      </c>
      <c r="I12" t="s">
        <v>9</v>
      </c>
      <c r="K12" t="s">
        <v>10</v>
      </c>
      <c r="L12" s="2">
        <v>19302</v>
      </c>
      <c r="M12" t="s">
        <v>5</v>
      </c>
      <c r="N12" t="s">
        <v>9</v>
      </c>
      <c r="P12" t="s">
        <v>7</v>
      </c>
      <c r="Q12" s="2">
        <v>14808</v>
      </c>
      <c r="R12" t="s">
        <v>8</v>
      </c>
      <c r="S12" t="s">
        <v>9</v>
      </c>
      <c r="T12" t="s">
        <v>18</v>
      </c>
    </row>
    <row r="13" spans="1:20" x14ac:dyDescent="0.3">
      <c r="A13" t="s">
        <v>10</v>
      </c>
      <c r="B13" s="2">
        <v>12438</v>
      </c>
      <c r="C13" t="s">
        <v>5</v>
      </c>
      <c r="D13" t="s">
        <v>14</v>
      </c>
      <c r="F13" t="s">
        <v>7</v>
      </c>
      <c r="G13" s="2">
        <v>9339</v>
      </c>
      <c r="H13" t="s">
        <v>5</v>
      </c>
      <c r="I13" t="s">
        <v>11</v>
      </c>
      <c r="K13" t="s">
        <v>10</v>
      </c>
      <c r="L13" s="2">
        <v>14867</v>
      </c>
      <c r="M13" t="s">
        <v>8</v>
      </c>
      <c r="N13" t="s">
        <v>6</v>
      </c>
      <c r="P13" t="s">
        <v>12</v>
      </c>
      <c r="Q13" s="2">
        <v>7433</v>
      </c>
      <c r="R13" t="s">
        <v>5</v>
      </c>
      <c r="S13" t="s">
        <v>14</v>
      </c>
      <c r="T13" t="s">
        <v>18</v>
      </c>
    </row>
    <row r="14" spans="1:20" x14ac:dyDescent="0.3">
      <c r="A14" t="s">
        <v>10</v>
      </c>
      <c r="B14" s="2">
        <v>14867</v>
      </c>
      <c r="C14" t="s">
        <v>8</v>
      </c>
      <c r="D14" t="s">
        <v>6</v>
      </c>
      <c r="F14" t="s">
        <v>13</v>
      </c>
      <c r="G14" s="2">
        <v>4865</v>
      </c>
      <c r="H14" t="s">
        <v>8</v>
      </c>
      <c r="I14" t="s">
        <v>9</v>
      </c>
      <c r="K14" t="s">
        <v>10</v>
      </c>
      <c r="L14" s="2">
        <v>12438</v>
      </c>
      <c r="M14" t="s">
        <v>5</v>
      </c>
      <c r="N14" t="s">
        <v>14</v>
      </c>
      <c r="P14" t="s">
        <v>4</v>
      </c>
      <c r="Q14" s="2">
        <v>16753</v>
      </c>
      <c r="R14" t="s">
        <v>5</v>
      </c>
      <c r="S14" t="s">
        <v>6</v>
      </c>
      <c r="T14" t="s">
        <v>18</v>
      </c>
    </row>
    <row r="15" spans="1:20" x14ac:dyDescent="0.3">
      <c r="A15" t="s">
        <v>10</v>
      </c>
      <c r="B15" s="2">
        <v>19302</v>
      </c>
      <c r="C15" t="s">
        <v>5</v>
      </c>
      <c r="D15" t="s">
        <v>9</v>
      </c>
      <c r="F15" t="s">
        <v>13</v>
      </c>
      <c r="G15" s="2">
        <v>3255</v>
      </c>
      <c r="H15" t="s">
        <v>8</v>
      </c>
      <c r="I15" t="s">
        <v>11</v>
      </c>
      <c r="K15" t="s">
        <v>10</v>
      </c>
      <c r="L15" s="2">
        <v>10644</v>
      </c>
      <c r="M15" t="s">
        <v>5</v>
      </c>
      <c r="N15" t="s">
        <v>11</v>
      </c>
      <c r="P15" t="s">
        <v>10</v>
      </c>
      <c r="Q15" s="2">
        <v>14867</v>
      </c>
      <c r="R15" t="s">
        <v>8</v>
      </c>
      <c r="S15" t="s">
        <v>6</v>
      </c>
      <c r="T15" t="s">
        <v>18</v>
      </c>
    </row>
    <row r="16" spans="1:20" x14ac:dyDescent="0.3">
      <c r="B16" s="2"/>
    </row>
    <row r="17" spans="1:31" x14ac:dyDescent="0.3">
      <c r="B17" s="2"/>
    </row>
    <row r="18" spans="1:31" x14ac:dyDescent="0.3">
      <c r="A18" s="1" t="s">
        <v>0</v>
      </c>
      <c r="B18" s="1" t="s">
        <v>1</v>
      </c>
      <c r="C18" s="1" t="s">
        <v>2</v>
      </c>
      <c r="D18" s="1" t="s">
        <v>3</v>
      </c>
      <c r="F18" s="1" t="s">
        <v>0</v>
      </c>
      <c r="G18" s="1" t="s">
        <v>1</v>
      </c>
      <c r="H18" s="1" t="s">
        <v>2</v>
      </c>
      <c r="I18" s="1" t="s">
        <v>3</v>
      </c>
      <c r="K18" s="9" t="s">
        <v>30</v>
      </c>
      <c r="L18" s="10">
        <v>8</v>
      </c>
      <c r="N18" s="4" t="s">
        <v>31</v>
      </c>
      <c r="O18" s="4" cm="1">
        <f t="array" ref="O18:O25">_xlfn.SEQUENCE(8,1,1,1)</f>
        <v>1</v>
      </c>
      <c r="P18" s="4" t="str" cm="1">
        <f t="array" ref="P18:P25">_xlfn.SORTBY(N18:N25,_xlfn.ANCHORARRAY(O18),-1)</f>
        <v>bangladesh</v>
      </c>
      <c r="R18" s="1" t="s">
        <v>0</v>
      </c>
      <c r="S18" s="1" t="s">
        <v>1</v>
      </c>
      <c r="T18" s="1" t="s">
        <v>2</v>
      </c>
      <c r="U18" s="1" t="s">
        <v>3</v>
      </c>
      <c r="W18" s="1" t="s">
        <v>0</v>
      </c>
      <c r="X18" s="1" t="s">
        <v>1</v>
      </c>
      <c r="Y18" s="1" t="s">
        <v>2</v>
      </c>
      <c r="Z18" s="1" t="s">
        <v>3</v>
      </c>
      <c r="AB18" s="1" t="s">
        <v>0</v>
      </c>
      <c r="AC18" s="1" t="s">
        <v>1</v>
      </c>
      <c r="AD18" s="1" t="s">
        <v>2</v>
      </c>
      <c r="AE18" s="1" t="s">
        <v>3</v>
      </c>
    </row>
    <row r="19" spans="1:31" x14ac:dyDescent="0.3">
      <c r="A19" t="s">
        <v>13</v>
      </c>
      <c r="B19" s="2">
        <v>4865</v>
      </c>
      <c r="C19" t="s">
        <v>8</v>
      </c>
      <c r="D19" t="s">
        <v>9</v>
      </c>
      <c r="F19" s="3" t="s">
        <v>10</v>
      </c>
      <c r="G19" s="5">
        <v>14867</v>
      </c>
      <c r="H19" s="3" t="s">
        <v>8</v>
      </c>
      <c r="I19" s="3" t="s">
        <v>6</v>
      </c>
      <c r="K19" s="9" t="s">
        <v>29</v>
      </c>
      <c r="L19" s="10">
        <v>7</v>
      </c>
      <c r="N19" s="4" t="s">
        <v>32</v>
      </c>
      <c r="O19" s="4">
        <v>2</v>
      </c>
      <c r="P19" s="4" t="str">
        <v>bhutan</v>
      </c>
      <c r="R19" t="s">
        <v>10</v>
      </c>
      <c r="S19" s="2">
        <v>10644</v>
      </c>
      <c r="T19" t="s">
        <v>5</v>
      </c>
      <c r="U19" t="s">
        <v>11</v>
      </c>
      <c r="W19" t="str" cm="1">
        <f t="array" ref="W19:Z32">_xlfn._xlws.SORT(R19:U32)</f>
        <v>Brown</v>
      </c>
      <c r="X19">
        <v>4865</v>
      </c>
      <c r="Y19" t="str">
        <v>USA</v>
      </c>
      <c r="Z19" t="str">
        <v>Qtr 4</v>
      </c>
      <c r="AB19" t="str" cm="1">
        <f t="array" ref="AB19:AE32">_xlfn._xlws.SORT(R19:U32,{1,4},{1,-1})</f>
        <v>Brown</v>
      </c>
      <c r="AC19">
        <v>4865</v>
      </c>
      <c r="AD19" t="str">
        <v>USA</v>
      </c>
      <c r="AE19" t="str">
        <v>Qtr 4</v>
      </c>
    </row>
    <row r="20" spans="1:31" x14ac:dyDescent="0.3">
      <c r="A20" t="s">
        <v>13</v>
      </c>
      <c r="B20" s="2">
        <v>3255</v>
      </c>
      <c r="C20" t="s">
        <v>8</v>
      </c>
      <c r="D20" t="s">
        <v>11</v>
      </c>
      <c r="F20" s="3" t="s">
        <v>10</v>
      </c>
      <c r="G20" s="5">
        <v>19302</v>
      </c>
      <c r="H20" s="3" t="s">
        <v>5</v>
      </c>
      <c r="I20" s="3" t="s">
        <v>9</v>
      </c>
      <c r="K20" s="9" t="s">
        <v>28</v>
      </c>
      <c r="L20" s="10">
        <v>6</v>
      </c>
      <c r="N20" s="4" t="s">
        <v>33</v>
      </c>
      <c r="O20" s="4">
        <v>3</v>
      </c>
      <c r="P20" s="4" t="str">
        <v>sri lanka</v>
      </c>
      <c r="R20" t="s">
        <v>10</v>
      </c>
      <c r="S20" s="2">
        <v>12438</v>
      </c>
      <c r="T20" t="s">
        <v>5</v>
      </c>
      <c r="U20" t="s">
        <v>14</v>
      </c>
      <c r="W20" t="str">
        <v>Brown</v>
      </c>
      <c r="X20">
        <v>3255</v>
      </c>
      <c r="Y20" t="str">
        <v>USA</v>
      </c>
      <c r="Z20" t="str">
        <v>Qtr 2</v>
      </c>
      <c r="AB20" t="str">
        <v>Brown</v>
      </c>
      <c r="AC20">
        <v>3255</v>
      </c>
      <c r="AD20" t="str">
        <v>USA</v>
      </c>
      <c r="AE20" t="str">
        <v>Qtr 2</v>
      </c>
    </row>
    <row r="21" spans="1:31" x14ac:dyDescent="0.3">
      <c r="A21" t="s">
        <v>7</v>
      </c>
      <c r="B21" s="2">
        <v>14808</v>
      </c>
      <c r="C21" t="s">
        <v>8</v>
      </c>
      <c r="D21" t="s">
        <v>9</v>
      </c>
      <c r="F21" s="3" t="s">
        <v>4</v>
      </c>
      <c r="G21" s="5">
        <v>16753</v>
      </c>
      <c r="H21" s="3" t="s">
        <v>5</v>
      </c>
      <c r="I21" s="3" t="s">
        <v>6</v>
      </c>
      <c r="K21" s="9" t="s">
        <v>27</v>
      </c>
      <c r="L21" s="10">
        <v>5</v>
      </c>
      <c r="N21" s="4" t="s">
        <v>34</v>
      </c>
      <c r="O21" s="4">
        <v>4</v>
      </c>
      <c r="P21" s="4" t="str">
        <v>pakistan</v>
      </c>
      <c r="R21" t="s">
        <v>10</v>
      </c>
      <c r="S21" s="2">
        <v>14867</v>
      </c>
      <c r="T21" t="s">
        <v>8</v>
      </c>
      <c r="U21" t="s">
        <v>6</v>
      </c>
      <c r="W21" t="str">
        <v>Johnson</v>
      </c>
      <c r="X21">
        <v>14808</v>
      </c>
      <c r="Y21" t="str">
        <v>USA</v>
      </c>
      <c r="Z21" t="str">
        <v>Qtr 4</v>
      </c>
      <c r="AB21" t="str">
        <v>Johnson</v>
      </c>
      <c r="AC21">
        <v>14808</v>
      </c>
      <c r="AD21" t="str">
        <v>USA</v>
      </c>
      <c r="AE21" t="str">
        <v>Qtr 4</v>
      </c>
    </row>
    <row r="22" spans="1:31" x14ac:dyDescent="0.3">
      <c r="A22" t="s">
        <v>7</v>
      </c>
      <c r="B22" s="2">
        <v>9339</v>
      </c>
      <c r="C22" t="s">
        <v>5</v>
      </c>
      <c r="D22" t="s">
        <v>11</v>
      </c>
      <c r="F22" s="3" t="s">
        <v>4</v>
      </c>
      <c r="G22" s="5">
        <v>18919</v>
      </c>
      <c r="H22" s="3" t="s">
        <v>8</v>
      </c>
      <c r="I22" s="3" t="s">
        <v>6</v>
      </c>
      <c r="K22" s="9" t="s">
        <v>26</v>
      </c>
      <c r="L22" s="10">
        <v>4</v>
      </c>
      <c r="N22" s="4" t="s">
        <v>35</v>
      </c>
      <c r="O22" s="4">
        <v>5</v>
      </c>
      <c r="P22" s="4" t="str">
        <v>nepal</v>
      </c>
      <c r="R22" t="s">
        <v>10</v>
      </c>
      <c r="S22" s="2">
        <v>19302</v>
      </c>
      <c r="T22" t="s">
        <v>5</v>
      </c>
      <c r="U22" t="s">
        <v>9</v>
      </c>
      <c r="W22" t="str">
        <v>Johnson</v>
      </c>
      <c r="X22">
        <v>9339</v>
      </c>
      <c r="Y22" t="str">
        <v>UK</v>
      </c>
      <c r="Z22" t="str">
        <v>Qtr 2</v>
      </c>
      <c r="AB22" t="str">
        <v>Johnson</v>
      </c>
      <c r="AC22">
        <v>9339</v>
      </c>
      <c r="AD22" t="str">
        <v>UK</v>
      </c>
      <c r="AE22" t="str">
        <v>Qtr 2</v>
      </c>
    </row>
    <row r="23" spans="1:31" x14ac:dyDescent="0.3">
      <c r="A23" t="s">
        <v>12</v>
      </c>
      <c r="B23" s="2">
        <v>9213</v>
      </c>
      <c r="C23" t="s">
        <v>8</v>
      </c>
      <c r="D23" t="s">
        <v>9</v>
      </c>
      <c r="F23" s="6" t="s">
        <v>12</v>
      </c>
      <c r="G23" s="7">
        <v>7433</v>
      </c>
      <c r="H23" s="6" t="s">
        <v>5</v>
      </c>
      <c r="I23" s="6" t="s">
        <v>14</v>
      </c>
      <c r="K23" s="9" t="s">
        <v>25</v>
      </c>
      <c r="L23" s="10">
        <v>3</v>
      </c>
      <c r="N23" s="4" t="s">
        <v>36</v>
      </c>
      <c r="O23" s="4">
        <v>6</v>
      </c>
      <c r="P23" s="4" t="str">
        <v>china</v>
      </c>
      <c r="R23" t="s">
        <v>4</v>
      </c>
      <c r="S23" s="2">
        <v>16753</v>
      </c>
      <c r="T23" t="s">
        <v>5</v>
      </c>
      <c r="U23" t="s">
        <v>6</v>
      </c>
      <c r="W23" t="str">
        <v>Jones</v>
      </c>
      <c r="X23">
        <v>1390</v>
      </c>
      <c r="Y23" t="str">
        <v>USA</v>
      </c>
      <c r="Z23" t="str">
        <v>Qtr 3</v>
      </c>
      <c r="AB23" t="str">
        <v>Jones</v>
      </c>
      <c r="AC23">
        <v>9213</v>
      </c>
      <c r="AD23" t="str">
        <v>USA</v>
      </c>
      <c r="AE23" t="str">
        <v>Qtr 4</v>
      </c>
    </row>
    <row r="24" spans="1:31" x14ac:dyDescent="0.3">
      <c r="A24" t="s">
        <v>12</v>
      </c>
      <c r="B24" s="2">
        <v>7433</v>
      </c>
      <c r="C24" t="s">
        <v>5</v>
      </c>
      <c r="D24" t="s">
        <v>14</v>
      </c>
      <c r="F24" s="6" t="s">
        <v>7</v>
      </c>
      <c r="G24" s="7">
        <v>14808</v>
      </c>
      <c r="H24" s="6" t="s">
        <v>8</v>
      </c>
      <c r="I24" s="6" t="s">
        <v>9</v>
      </c>
      <c r="K24" s="9" t="s">
        <v>24</v>
      </c>
      <c r="L24" s="10">
        <v>2</v>
      </c>
      <c r="N24" s="4" t="s">
        <v>37</v>
      </c>
      <c r="O24" s="4">
        <v>7</v>
      </c>
      <c r="P24" s="4" t="str">
        <v>russia</v>
      </c>
      <c r="R24" t="s">
        <v>4</v>
      </c>
      <c r="S24" s="2">
        <v>18919</v>
      </c>
      <c r="T24" t="s">
        <v>8</v>
      </c>
      <c r="U24" t="s">
        <v>6</v>
      </c>
      <c r="W24" t="str">
        <v>Jones</v>
      </c>
      <c r="X24">
        <v>9213</v>
      </c>
      <c r="Y24" t="str">
        <v>USA</v>
      </c>
      <c r="Z24" t="str">
        <v>Qtr 4</v>
      </c>
      <c r="AB24" t="str">
        <v>Jones</v>
      </c>
      <c r="AC24">
        <v>1390</v>
      </c>
      <c r="AD24" t="str">
        <v>USA</v>
      </c>
      <c r="AE24" t="str">
        <v>Qtr 3</v>
      </c>
    </row>
    <row r="25" spans="1:31" x14ac:dyDescent="0.3">
      <c r="A25" t="s">
        <v>12</v>
      </c>
      <c r="B25" s="2">
        <v>1390</v>
      </c>
      <c r="C25" t="s">
        <v>8</v>
      </c>
      <c r="D25" t="s">
        <v>6</v>
      </c>
      <c r="F25" s="6" t="s">
        <v>7</v>
      </c>
      <c r="G25" s="7">
        <v>9339</v>
      </c>
      <c r="H25" s="6" t="s">
        <v>5</v>
      </c>
      <c r="I25" s="6" t="s">
        <v>11</v>
      </c>
      <c r="K25" s="9" t="s">
        <v>23</v>
      </c>
      <c r="L25" s="10">
        <v>1</v>
      </c>
      <c r="N25" s="4" t="s">
        <v>38</v>
      </c>
      <c r="O25" s="4">
        <v>8</v>
      </c>
      <c r="P25" s="4" t="str">
        <v>india</v>
      </c>
      <c r="R25" t="s">
        <v>4</v>
      </c>
      <c r="S25" s="2">
        <v>9698</v>
      </c>
      <c r="T25" t="s">
        <v>8</v>
      </c>
      <c r="U25" t="s">
        <v>14</v>
      </c>
      <c r="W25" t="str">
        <v>Jones</v>
      </c>
      <c r="X25">
        <v>7433</v>
      </c>
      <c r="Y25" t="str">
        <v>UK</v>
      </c>
      <c r="Z25" t="str">
        <v>Qtr 1</v>
      </c>
      <c r="AB25" t="str">
        <v>Jones</v>
      </c>
      <c r="AC25">
        <v>7433</v>
      </c>
      <c r="AD25" t="str">
        <v>UK</v>
      </c>
      <c r="AE25" t="str">
        <v>Qtr 1</v>
      </c>
    </row>
    <row r="26" spans="1:31" x14ac:dyDescent="0.3">
      <c r="A26" t="s">
        <v>4</v>
      </c>
      <c r="B26" s="2">
        <v>18919</v>
      </c>
      <c r="C26" t="s">
        <v>8</v>
      </c>
      <c r="D26" t="s">
        <v>6</v>
      </c>
      <c r="F26" s="6" t="s">
        <v>13</v>
      </c>
      <c r="G26" s="7">
        <v>3255</v>
      </c>
      <c r="H26" s="6" t="s">
        <v>8</v>
      </c>
      <c r="I26" s="6" t="s">
        <v>11</v>
      </c>
      <c r="K26" s="1"/>
      <c r="R26" t="s">
        <v>12</v>
      </c>
      <c r="S26" s="2">
        <v>1390</v>
      </c>
      <c r="T26" t="s">
        <v>8</v>
      </c>
      <c r="U26" t="s">
        <v>6</v>
      </c>
      <c r="W26" t="str">
        <v>Smith</v>
      </c>
      <c r="X26">
        <v>16753</v>
      </c>
      <c r="Y26" t="str">
        <v>UK</v>
      </c>
      <c r="Z26" t="str">
        <v>Qtr 3</v>
      </c>
      <c r="AB26" t="str">
        <v>Smith</v>
      </c>
      <c r="AC26">
        <v>16753</v>
      </c>
      <c r="AD26" t="str">
        <v>UK</v>
      </c>
      <c r="AE26" t="str">
        <v>Qtr 3</v>
      </c>
    </row>
    <row r="27" spans="1:31" x14ac:dyDescent="0.3">
      <c r="A27" t="s">
        <v>4</v>
      </c>
      <c r="B27" s="2">
        <v>16753</v>
      </c>
      <c r="C27" t="s">
        <v>5</v>
      </c>
      <c r="D27" t="s">
        <v>6</v>
      </c>
      <c r="F27" t="s">
        <v>10</v>
      </c>
      <c r="G27" s="2">
        <v>10644</v>
      </c>
      <c r="H27" t="s">
        <v>5</v>
      </c>
      <c r="I27" t="s">
        <v>11</v>
      </c>
      <c r="K27" s="1"/>
      <c r="R27" t="s">
        <v>12</v>
      </c>
      <c r="S27" s="2">
        <v>9213</v>
      </c>
      <c r="T27" t="s">
        <v>8</v>
      </c>
      <c r="U27" t="s">
        <v>9</v>
      </c>
      <c r="W27" t="str">
        <v>Smith</v>
      </c>
      <c r="X27">
        <v>18919</v>
      </c>
      <c r="Y27" t="str">
        <v>USA</v>
      </c>
      <c r="Z27" t="str">
        <v>Qtr 3</v>
      </c>
      <c r="AB27" t="str">
        <v>Smith</v>
      </c>
      <c r="AC27">
        <v>18919</v>
      </c>
      <c r="AD27" t="str">
        <v>USA</v>
      </c>
      <c r="AE27" t="str">
        <v>Qtr 3</v>
      </c>
    </row>
    <row r="28" spans="1:31" x14ac:dyDescent="0.3">
      <c r="A28" t="s">
        <v>4</v>
      </c>
      <c r="B28" s="2">
        <v>9698</v>
      </c>
      <c r="C28" t="s">
        <v>8</v>
      </c>
      <c r="D28" t="s">
        <v>14</v>
      </c>
      <c r="F28" t="s">
        <v>10</v>
      </c>
      <c r="G28" s="2">
        <v>12438</v>
      </c>
      <c r="H28" t="s">
        <v>5</v>
      </c>
      <c r="I28" t="s">
        <v>14</v>
      </c>
      <c r="K28" s="1"/>
      <c r="R28" t="s">
        <v>12</v>
      </c>
      <c r="S28" s="2">
        <v>7433</v>
      </c>
      <c r="T28" t="s">
        <v>5</v>
      </c>
      <c r="U28" t="s">
        <v>14</v>
      </c>
      <c r="W28" t="str">
        <v>Smith</v>
      </c>
      <c r="X28">
        <v>9698</v>
      </c>
      <c r="Y28" t="str">
        <v>USA</v>
      </c>
      <c r="Z28" t="str">
        <v>Qtr 1</v>
      </c>
      <c r="AB28" t="str">
        <v>Smith</v>
      </c>
      <c r="AC28">
        <v>9698</v>
      </c>
      <c r="AD28" t="str">
        <v>USA</v>
      </c>
      <c r="AE28" t="str">
        <v>Qtr 1</v>
      </c>
    </row>
    <row r="29" spans="1:31" x14ac:dyDescent="0.3">
      <c r="A29" t="s">
        <v>10</v>
      </c>
      <c r="B29" s="2">
        <v>19302</v>
      </c>
      <c r="C29" t="s">
        <v>5</v>
      </c>
      <c r="D29" t="s">
        <v>9</v>
      </c>
      <c r="F29" t="s">
        <v>12</v>
      </c>
      <c r="G29" s="2">
        <v>9213</v>
      </c>
      <c r="H29" t="s">
        <v>8</v>
      </c>
      <c r="I29" t="s">
        <v>9</v>
      </c>
      <c r="K29" s="1"/>
      <c r="R29" t="s">
        <v>7</v>
      </c>
      <c r="S29" s="2">
        <v>14808</v>
      </c>
      <c r="T29" t="s">
        <v>8</v>
      </c>
      <c r="U29" t="s">
        <v>9</v>
      </c>
      <c r="W29" t="str">
        <v>Williams</v>
      </c>
      <c r="X29">
        <v>10644</v>
      </c>
      <c r="Y29" t="str">
        <v>UK</v>
      </c>
      <c r="Z29" t="str">
        <v>Qtr 2</v>
      </c>
      <c r="AB29" t="str">
        <v>Williams</v>
      </c>
      <c r="AC29">
        <v>19302</v>
      </c>
      <c r="AD29" t="str">
        <v>UK</v>
      </c>
      <c r="AE29" t="str">
        <v>Qtr 4</v>
      </c>
    </row>
    <row r="30" spans="1:31" x14ac:dyDescent="0.3">
      <c r="A30" t="s">
        <v>10</v>
      </c>
      <c r="B30" s="2">
        <v>14867</v>
      </c>
      <c r="C30" t="s">
        <v>8</v>
      </c>
      <c r="D30" t="s">
        <v>6</v>
      </c>
      <c r="F30" t="s">
        <v>13</v>
      </c>
      <c r="G30" s="2">
        <v>4865</v>
      </c>
      <c r="H30" t="s">
        <v>8</v>
      </c>
      <c r="I30" t="s">
        <v>9</v>
      </c>
      <c r="K30" s="1"/>
      <c r="R30" t="s">
        <v>7</v>
      </c>
      <c r="S30" s="2">
        <v>9339</v>
      </c>
      <c r="T30" t="s">
        <v>5</v>
      </c>
      <c r="U30" t="s">
        <v>11</v>
      </c>
      <c r="W30" t="str">
        <v>Williams</v>
      </c>
      <c r="X30">
        <v>12438</v>
      </c>
      <c r="Y30" t="str">
        <v>UK</v>
      </c>
      <c r="Z30" t="str">
        <v>Qtr 1</v>
      </c>
      <c r="AB30" t="str">
        <v>Williams</v>
      </c>
      <c r="AC30">
        <v>14867</v>
      </c>
      <c r="AD30" t="str">
        <v>USA</v>
      </c>
      <c r="AE30" t="str">
        <v>Qtr 3</v>
      </c>
    </row>
    <row r="31" spans="1:31" x14ac:dyDescent="0.3">
      <c r="A31" t="s">
        <v>10</v>
      </c>
      <c r="B31" s="2">
        <v>12438</v>
      </c>
      <c r="C31" t="s">
        <v>5</v>
      </c>
      <c r="D31" t="s">
        <v>14</v>
      </c>
      <c r="F31" s="4" t="s">
        <v>4</v>
      </c>
      <c r="G31" s="8">
        <v>9698</v>
      </c>
      <c r="H31" s="4" t="s">
        <v>8</v>
      </c>
      <c r="I31" s="4" t="s">
        <v>14</v>
      </c>
      <c r="K31" s="1"/>
      <c r="R31" t="s">
        <v>13</v>
      </c>
      <c r="S31" s="2">
        <v>4865</v>
      </c>
      <c r="T31" t="s">
        <v>8</v>
      </c>
      <c r="U31" t="s">
        <v>9</v>
      </c>
      <c r="W31" t="str">
        <v>Williams</v>
      </c>
      <c r="X31">
        <v>14867</v>
      </c>
      <c r="Y31" t="str">
        <v>USA</v>
      </c>
      <c r="Z31" t="str">
        <v>Qtr 3</v>
      </c>
      <c r="AB31" t="str">
        <v>Williams</v>
      </c>
      <c r="AC31">
        <v>10644</v>
      </c>
      <c r="AD31" t="str">
        <v>UK</v>
      </c>
      <c r="AE31" t="str">
        <v>Qtr 2</v>
      </c>
    </row>
    <row r="32" spans="1:31" x14ac:dyDescent="0.3">
      <c r="A32" t="s">
        <v>10</v>
      </c>
      <c r="B32" s="2">
        <v>10644</v>
      </c>
      <c r="C32" t="s">
        <v>5</v>
      </c>
      <c r="D32" t="s">
        <v>11</v>
      </c>
      <c r="F32" s="4" t="s">
        <v>12</v>
      </c>
      <c r="G32" s="8">
        <v>1390</v>
      </c>
      <c r="H32" s="4" t="s">
        <v>8</v>
      </c>
      <c r="I32" s="4" t="s">
        <v>6</v>
      </c>
      <c r="K32" s="1"/>
      <c r="R32" t="s">
        <v>13</v>
      </c>
      <c r="S32" s="2">
        <v>3255</v>
      </c>
      <c r="T32" t="s">
        <v>8</v>
      </c>
      <c r="U32" t="s">
        <v>11</v>
      </c>
      <c r="W32" t="str">
        <v>Williams</v>
      </c>
      <c r="X32">
        <v>19302</v>
      </c>
      <c r="Y32" t="str">
        <v>UK</v>
      </c>
      <c r="Z32" t="str">
        <v>Qtr 4</v>
      </c>
      <c r="AB32" t="str">
        <v>Williams</v>
      </c>
      <c r="AC32">
        <v>12438</v>
      </c>
      <c r="AD32" t="str">
        <v>UK</v>
      </c>
      <c r="AE32" t="str">
        <v>Qtr 1</v>
      </c>
    </row>
    <row r="33" spans="2:26" x14ac:dyDescent="0.3">
      <c r="B33" s="2"/>
    </row>
    <row r="34" spans="2:26" x14ac:dyDescent="0.3">
      <c r="B34" s="2"/>
    </row>
    <row r="35" spans="2:26" x14ac:dyDescent="0.3">
      <c r="B35" s="2"/>
      <c r="W35" t="str" cm="1">
        <f t="array" ref="W35:Z48">_xlfn._xlws.SORT(R19:U32,2,-1)</f>
        <v>Williams</v>
      </c>
      <c r="X35">
        <v>19302</v>
      </c>
      <c r="Y35" t="str">
        <v>UK</v>
      </c>
      <c r="Z35" t="str">
        <v>Qtr 4</v>
      </c>
    </row>
    <row r="36" spans="2:26" x14ac:dyDescent="0.3">
      <c r="B36" s="2"/>
      <c r="W36" t="str">
        <v>Smith</v>
      </c>
      <c r="X36">
        <v>18919</v>
      </c>
      <c r="Y36" t="str">
        <v>USA</v>
      </c>
      <c r="Z36" t="str">
        <v>Qtr 3</v>
      </c>
    </row>
    <row r="37" spans="2:26" x14ac:dyDescent="0.3">
      <c r="B37" s="2"/>
      <c r="W37" t="str">
        <v>Smith</v>
      </c>
      <c r="X37">
        <v>16753</v>
      </c>
      <c r="Y37" t="str">
        <v>UK</v>
      </c>
      <c r="Z37" t="str">
        <v>Qtr 3</v>
      </c>
    </row>
    <row r="38" spans="2:26" x14ac:dyDescent="0.3">
      <c r="B38" s="2"/>
      <c r="W38" t="str">
        <v>Williams</v>
      </c>
      <c r="X38">
        <v>14867</v>
      </c>
      <c r="Y38" t="str">
        <v>USA</v>
      </c>
      <c r="Z38" t="str">
        <v>Qtr 3</v>
      </c>
    </row>
    <row r="39" spans="2:26" x14ac:dyDescent="0.3">
      <c r="B39" s="2"/>
      <c r="W39" t="str">
        <v>Johnson</v>
      </c>
      <c r="X39">
        <v>14808</v>
      </c>
      <c r="Y39" t="str">
        <v>USA</v>
      </c>
      <c r="Z39" t="str">
        <v>Qtr 4</v>
      </c>
    </row>
    <row r="40" spans="2:26" x14ac:dyDescent="0.3">
      <c r="B40" s="2"/>
      <c r="W40" t="str">
        <v>Williams</v>
      </c>
      <c r="X40">
        <v>12438</v>
      </c>
      <c r="Y40" t="str">
        <v>UK</v>
      </c>
      <c r="Z40" t="str">
        <v>Qtr 1</v>
      </c>
    </row>
    <row r="41" spans="2:26" x14ac:dyDescent="0.3">
      <c r="B41" s="2"/>
      <c r="W41" t="str">
        <v>Williams</v>
      </c>
      <c r="X41">
        <v>10644</v>
      </c>
      <c r="Y41" t="str">
        <v>UK</v>
      </c>
      <c r="Z41" t="str">
        <v>Qtr 2</v>
      </c>
    </row>
    <row r="42" spans="2:26" x14ac:dyDescent="0.3">
      <c r="B42" s="2"/>
      <c r="W42" t="str">
        <v>Smith</v>
      </c>
      <c r="X42">
        <v>9698</v>
      </c>
      <c r="Y42" t="str">
        <v>USA</v>
      </c>
      <c r="Z42" t="str">
        <v>Qtr 1</v>
      </c>
    </row>
    <row r="43" spans="2:26" x14ac:dyDescent="0.3">
      <c r="B43" s="2"/>
      <c r="W43" t="str">
        <v>Johnson</v>
      </c>
      <c r="X43">
        <v>9339</v>
      </c>
      <c r="Y43" t="str">
        <v>UK</v>
      </c>
      <c r="Z43" t="str">
        <v>Qtr 2</v>
      </c>
    </row>
    <row r="44" spans="2:26" x14ac:dyDescent="0.3">
      <c r="B44" s="2"/>
      <c r="W44" t="str">
        <v>Jones</v>
      </c>
      <c r="X44">
        <v>9213</v>
      </c>
      <c r="Y44" t="str">
        <v>USA</v>
      </c>
      <c r="Z44" t="str">
        <v>Qtr 4</v>
      </c>
    </row>
    <row r="45" spans="2:26" x14ac:dyDescent="0.3">
      <c r="B45" s="2"/>
      <c r="W45" t="str">
        <v>Jones</v>
      </c>
      <c r="X45">
        <v>7433</v>
      </c>
      <c r="Y45" t="str">
        <v>UK</v>
      </c>
      <c r="Z45" t="str">
        <v>Qtr 1</v>
      </c>
    </row>
    <row r="46" spans="2:26" x14ac:dyDescent="0.3">
      <c r="B46" s="2"/>
      <c r="W46" t="str">
        <v>Brown</v>
      </c>
      <c r="X46">
        <v>4865</v>
      </c>
      <c r="Y46" t="str">
        <v>USA</v>
      </c>
      <c r="Z46" t="str">
        <v>Qtr 4</v>
      </c>
    </row>
    <row r="47" spans="2:26" x14ac:dyDescent="0.3">
      <c r="B47" s="2"/>
      <c r="W47" t="str">
        <v>Brown</v>
      </c>
      <c r="X47">
        <v>3255</v>
      </c>
      <c r="Y47" t="str">
        <v>USA</v>
      </c>
      <c r="Z47" t="str">
        <v>Qtr 2</v>
      </c>
    </row>
    <row r="48" spans="2:26" x14ac:dyDescent="0.3">
      <c r="B48" s="2"/>
      <c r="W48" t="str">
        <v>Jones</v>
      </c>
      <c r="X48">
        <v>1390</v>
      </c>
      <c r="Y48" t="str">
        <v>USA</v>
      </c>
      <c r="Z48" t="str">
        <v>Qtr 3</v>
      </c>
    </row>
    <row r="49" spans="2:2" x14ac:dyDescent="0.3">
      <c r="B49" s="2"/>
    </row>
    <row r="50" spans="2:2" x14ac:dyDescent="0.3">
      <c r="B50" s="2"/>
    </row>
  </sheetData>
  <sortState xmlns:xlrd2="http://schemas.microsoft.com/office/spreadsheetml/2017/richdata2" ref="K18:L25">
    <sortCondition descending="1" ref="L18:L25"/>
  </sortState>
  <phoneticPr fontId="2" type="noConversion"/>
  <conditionalFormatting sqref="A19:D32">
    <cfRule type="expression" dxfId="4" priority="4">
      <formula>$D19="Qtr 4"</formula>
    </cfRule>
    <cfRule type="expression" dxfId="5" priority="2">
      <formula>$D19="Qtr 1"</formula>
    </cfRule>
    <cfRule type="expression" dxfId="3" priority="1">
      <formula>$D19="Qtr 2"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4F5A-82D7-4079-9212-5A0E75699A39}">
  <dimension ref="A1:G8"/>
  <sheetViews>
    <sheetView tabSelected="1" workbookViewId="0">
      <selection activeCell="G11" sqref="G11"/>
    </sheetView>
  </sheetViews>
  <sheetFormatPr defaultRowHeight="14.4" x14ac:dyDescent="0.3"/>
  <sheetData>
    <row r="1" spans="1:7" x14ac:dyDescent="0.3">
      <c r="A1" t="s">
        <v>28</v>
      </c>
      <c r="B1">
        <f ca="1">RAND()</f>
        <v>0.73487784081246255</v>
      </c>
      <c r="D1" t="s">
        <v>23</v>
      </c>
      <c r="E1" cm="1">
        <f t="array" aca="1" ref="E1:E8" ca="1">_xlfn.RANDARRAY(8,1)</f>
        <v>0.73101272526949246</v>
      </c>
      <c r="G1" t="str" cm="1">
        <f t="array" aca="1" ref="G1:G8" ca="1">_xlfn.SORTBY(D1:D8,_xlfn.ANCHORARRAY(E1),-1)</f>
        <v>Bangladesh</v>
      </c>
    </row>
    <row r="2" spans="1:7" x14ac:dyDescent="0.3">
      <c r="A2" t="s">
        <v>24</v>
      </c>
      <c r="B2">
        <f ca="1">RAND()</f>
        <v>2.5259184219844744E-2</v>
      </c>
      <c r="D2" t="s">
        <v>24</v>
      </c>
      <c r="E2">
        <f ca="1"/>
        <v>0.7737318663575059</v>
      </c>
      <c r="G2" t="str">
        <f ca="1"/>
        <v>Nepal</v>
      </c>
    </row>
    <row r="3" spans="1:7" x14ac:dyDescent="0.3">
      <c r="A3" t="s">
        <v>27</v>
      </c>
      <c r="B3">
        <f ca="1">RAND()</f>
        <v>0.45347627392883316</v>
      </c>
      <c r="D3" t="s">
        <v>25</v>
      </c>
      <c r="E3">
        <f ca="1"/>
        <v>0.6291994125738769</v>
      </c>
      <c r="G3" t="str">
        <f ca="1"/>
        <v>Russia</v>
      </c>
    </row>
    <row r="4" spans="1:7" x14ac:dyDescent="0.3">
      <c r="A4" t="s">
        <v>26</v>
      </c>
      <c r="B4">
        <f ca="1">RAND()</f>
        <v>0.99973316923160405</v>
      </c>
      <c r="D4" t="s">
        <v>26</v>
      </c>
      <c r="E4">
        <f ca="1"/>
        <v>0.88707343452712961</v>
      </c>
      <c r="G4" t="str">
        <f ca="1"/>
        <v>India</v>
      </c>
    </row>
    <row r="5" spans="1:7" x14ac:dyDescent="0.3">
      <c r="A5" t="s">
        <v>23</v>
      </c>
      <c r="B5">
        <f ca="1">RAND()</f>
        <v>0.76694570903353088</v>
      </c>
      <c r="D5" t="s">
        <v>27</v>
      </c>
      <c r="E5">
        <f ca="1"/>
        <v>0.15463626761145766</v>
      </c>
      <c r="G5" t="str">
        <f ca="1"/>
        <v>China</v>
      </c>
    </row>
    <row r="6" spans="1:7" x14ac:dyDescent="0.3">
      <c r="A6" t="s">
        <v>25</v>
      </c>
      <c r="B6">
        <f ca="1">RAND()</f>
        <v>2.2196198568745662E-2</v>
      </c>
      <c r="D6" t="s">
        <v>28</v>
      </c>
      <c r="E6">
        <f ca="1"/>
        <v>0.30487425495136788</v>
      </c>
      <c r="G6" t="str">
        <f ca="1"/>
        <v>Bhutan</v>
      </c>
    </row>
    <row r="7" spans="1:7" x14ac:dyDescent="0.3">
      <c r="A7" t="s">
        <v>29</v>
      </c>
      <c r="B7">
        <f ca="1">RAND()</f>
        <v>0.45001571328383005</v>
      </c>
      <c r="D7" t="s">
        <v>29</v>
      </c>
      <c r="E7">
        <f ca="1"/>
        <v>0.50674652838524858</v>
      </c>
      <c r="G7" t="str">
        <f ca="1"/>
        <v>Sri Lanka</v>
      </c>
    </row>
    <row r="8" spans="1:7" x14ac:dyDescent="0.3">
      <c r="A8" t="s">
        <v>30</v>
      </c>
      <c r="B8">
        <f ca="1">RAND()</f>
        <v>0.53999623868641822</v>
      </c>
      <c r="D8" t="s">
        <v>30</v>
      </c>
      <c r="E8">
        <f ca="1"/>
        <v>0.93940731532017718</v>
      </c>
      <c r="G8" t="str">
        <f ca="1"/>
        <v>Pakistan</v>
      </c>
    </row>
  </sheetData>
  <sortState xmlns:xlrd2="http://schemas.microsoft.com/office/spreadsheetml/2017/richdata2" ref="A1:B8">
    <sortCondition descending="1" ref="A1:A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</vt:lpstr>
      <vt:lpstr>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2012-06-12T18:34:12Z</dcterms:created>
  <dcterms:modified xsi:type="dcterms:W3CDTF">2026-01-29T14:42:57Z</dcterms:modified>
</cp:coreProperties>
</file>