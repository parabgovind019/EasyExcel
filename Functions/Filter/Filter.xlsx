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Filter/"/>
    </mc:Choice>
  </mc:AlternateContent>
  <xr:revisionPtr revIDLastSave="429" documentId="11_F25DC773A252ABDACC1048C9A1DF6BC05ADE58E5" xr6:coauthVersionLast="47" xr6:coauthVersionMax="47" xr10:uidLastSave="{4BEDA1A3-2583-4159-B14D-203F01E3CAEE}"/>
  <bookViews>
    <workbookView xWindow="-108" yWindow="-108" windowWidth="23256" windowHeight="12456" firstSheet="1" activeTab="7" xr2:uid="{00000000-000D-0000-FFFF-FFFF00000000}"/>
  </bookViews>
  <sheets>
    <sheet name="FilterBasic" sheetId="2" r:id="rId1"/>
    <sheet name="NumFilter" sheetId="1" r:id="rId2"/>
    <sheet name="TextFilter" sheetId="3" r:id="rId3"/>
    <sheet name="DuplicateFilter" sheetId="4" r:id="rId4"/>
    <sheet name="Subtotal" sheetId="5" r:id="rId5"/>
    <sheet name="UniqueFilter" sheetId="6" r:id="rId6"/>
    <sheet name="FilterFunction" sheetId="7" r:id="rId7"/>
    <sheet name="DateFilter" sheetId="8" r:id="rId8"/>
  </sheets>
  <definedNames>
    <definedName name="_xlnm._FilterDatabase" localSheetId="7" hidden="1">DateFilter!$A$1:$B$9</definedName>
    <definedName name="_xlnm._FilterDatabase" localSheetId="3" hidden="1">DuplicateFilter!$F$1:$F$15</definedName>
    <definedName name="_xlnm._FilterDatabase" localSheetId="0" hidden="1">FilterBasic!$A$1:$D$15</definedName>
    <definedName name="_xlnm._FilterDatabase" localSheetId="1" hidden="1">NumFilter!$A$1:$D$15</definedName>
    <definedName name="_xlnm._FilterDatabase" localSheetId="4" hidden="1">Subtotal!$A$1:$D$15</definedName>
    <definedName name="_xlnm._FilterDatabase" localSheetId="2" hidden="1">TextFilter!$A$1:$D$15</definedName>
    <definedName name="_xlnm._FilterDatabase" localSheetId="5" hidden="1">UniqueFilter!$A$18:$A$32</definedName>
    <definedName name="_xlnm.Extract" localSheetId="3">DuplicateFilter!$K$1</definedName>
    <definedName name="_xlnm.Extract" localSheetId="5">UniqueFilter!$F$1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7" l="1" a="1"/>
  <c r="P1" i="7" s="1"/>
  <c r="F21" i="7" a="1"/>
  <c r="F21" i="7" s="1"/>
  <c r="A21" i="7" a="1"/>
  <c r="A21" i="7" s="1"/>
  <c r="K11" i="7" a="1"/>
  <c r="K11" i="7" s="1"/>
  <c r="F11" i="7" a="1"/>
  <c r="F11" i="7" s="1"/>
  <c r="F1" i="7" a="1"/>
  <c r="F1" i="7" s="1"/>
  <c r="K1" i="6" a="1"/>
  <c r="K1" i="6" s="1"/>
  <c r="J1" i="6" a="1"/>
  <c r="J1" i="6" s="1"/>
  <c r="I1" i="6" a="1"/>
  <c r="I1" i="6" s="1"/>
  <c r="C47" i="5"/>
  <c r="E47" i="5"/>
  <c r="A30" i="5"/>
  <c r="A29" i="5"/>
  <c r="B19" i="5"/>
  <c r="B1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<sst xmlns="http://schemas.openxmlformats.org/spreadsheetml/2006/main" count="541" uniqueCount="42">
  <si>
    <t>Last Name</t>
  </si>
  <si>
    <t>Sales</t>
  </si>
  <si>
    <t>Country</t>
  </si>
  <si>
    <t>Quarter</t>
  </si>
  <si>
    <t>Brown</t>
  </si>
  <si>
    <t>USA</t>
  </si>
  <si>
    <t>Qtr 4</t>
  </si>
  <si>
    <t>Qtr 2</t>
  </si>
  <si>
    <t>Johnson</t>
  </si>
  <si>
    <t>UK</t>
  </si>
  <si>
    <t>Jones</t>
  </si>
  <si>
    <t>Qtr 3</t>
  </si>
  <si>
    <t>Qtr 1</t>
  </si>
  <si>
    <t>Smith</t>
  </si>
  <si>
    <t>Williams</t>
  </si>
  <si>
    <t>sum</t>
  </si>
  <si>
    <t>subtotal</t>
  </si>
  <si>
    <t>use when don’t want sum of hiiden rows which are hidded manually or through filter</t>
  </si>
  <si>
    <t>Total</t>
  </si>
  <si>
    <t>company</t>
  </si>
  <si>
    <t>airtel</t>
  </si>
  <si>
    <t>google</t>
  </si>
  <si>
    <t>idea</t>
  </si>
  <si>
    <t>Lion</t>
  </si>
  <si>
    <t>Rat</t>
  </si>
  <si>
    <t>Mouse</t>
  </si>
  <si>
    <t>Elephant</t>
  </si>
  <si>
    <t>Horse</t>
  </si>
  <si>
    <t>Ant</t>
  </si>
  <si>
    <t xml:space="preserve">country </t>
  </si>
  <si>
    <t>country</t>
  </si>
  <si>
    <t>canada</t>
  </si>
  <si>
    <t>Date</t>
  </si>
  <si>
    <t>Trip</t>
  </si>
  <si>
    <t>India</t>
  </si>
  <si>
    <t>Russia</t>
  </si>
  <si>
    <t>China</t>
  </si>
  <si>
    <t>Nepal</t>
  </si>
  <si>
    <t>Pakistan</t>
  </si>
  <si>
    <t>Sri Lanka</t>
  </si>
  <si>
    <t>Bhutan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</si>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</sst>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General"/>
    <numFmt numFmtId="167" formatCode=";;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/>
    <xf numFmtId="167" fontId="0" fillId="0" borderId="0" xfId="0" applyNumberForma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4" tint="-0.499984740745262"/>
        </patternFill>
      </fill>
    </dxf>
    <dxf>
      <numFmt numFmtId="165" formatCode="\$General"/>
    </dxf>
    <dxf>
      <numFmt numFmtId="165" formatCode="\$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756FF-EF20-4EE6-A61B-9788A4B719A8}" name="Table1" displayName="Table1" ref="B32:E47" totalsRowCount="1">
  <autoFilter ref="B32:E46" xr:uid="{4E9756FF-EF20-4EE6-A61B-9788A4B719A8}"/>
  <tableColumns count="4">
    <tableColumn id="1" xr3:uid="{16ACF598-74D6-402B-8371-33DE5484617B}" name="Last Name" totalsRowLabel="Total"/>
    <tableColumn id="2" xr3:uid="{3BB60561-7067-4755-9698-042791BD70BA}" name="Sales" totalsRowFunction="sum" dataDxfId="6" totalsRowDxfId="5"/>
    <tableColumn id="3" xr3:uid="{C3C64D16-66C9-464D-A2E4-67CD1766B9EC}" name="Country"/>
    <tableColumn id="4" xr3:uid="{DFC6EED0-3F32-41E4-AAAC-7CFBE8EE8006}" name="Quarter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94D-45BE-408C-86F0-D31B0E11A410}">
  <sheetPr filterMode="1"/>
  <dimension ref="A1:D15"/>
  <sheetViews>
    <sheetView workbookViewId="0">
      <selection activeCell="E20" sqref="E20"/>
    </sheetView>
  </sheetViews>
  <sheetFormatPr defaultRowHeight="14.4" x14ac:dyDescent="0.3"/>
  <cols>
    <col min="2" max="3" width="8.88671875" customWidth="1"/>
  </cols>
  <sheetData>
    <row r="1" spans="1:4" x14ac:dyDescent="0.3">
      <c r="A1" s="1" t="s">
        <v>0</v>
      </c>
      <c r="B1" s="2" t="s">
        <v>1</v>
      </c>
      <c r="C1" t="s">
        <v>2</v>
      </c>
      <c r="D1" t="s">
        <v>3</v>
      </c>
    </row>
    <row r="2" spans="1:4" x14ac:dyDescent="0.3">
      <c r="A2" t="s">
        <v>4</v>
      </c>
      <c r="B2" s="2">
        <v>4865</v>
      </c>
      <c r="C2" t="s">
        <v>5</v>
      </c>
      <c r="D2" t="s">
        <v>6</v>
      </c>
    </row>
    <row r="3" spans="1:4" hidden="1" x14ac:dyDescent="0.3">
      <c r="A3" t="s">
        <v>4</v>
      </c>
      <c r="B3" s="2">
        <v>3255</v>
      </c>
      <c r="C3" t="s">
        <v>5</v>
      </c>
      <c r="D3" t="s">
        <v>7</v>
      </c>
    </row>
    <row r="4" spans="1:4" x14ac:dyDescent="0.3">
      <c r="A4" t="s">
        <v>8</v>
      </c>
      <c r="B4" s="2">
        <v>14808</v>
      </c>
      <c r="C4" t="s">
        <v>5</v>
      </c>
      <c r="D4" t="s">
        <v>6</v>
      </c>
    </row>
    <row r="5" spans="1:4" hidden="1" x14ac:dyDescent="0.3">
      <c r="A5" t="s">
        <v>10</v>
      </c>
      <c r="B5" s="2">
        <v>1390</v>
      </c>
      <c r="C5" t="s">
        <v>5</v>
      </c>
      <c r="D5" t="s">
        <v>11</v>
      </c>
    </row>
    <row r="6" spans="1:4" x14ac:dyDescent="0.3">
      <c r="A6" t="s">
        <v>10</v>
      </c>
      <c r="B6" s="2">
        <v>9213</v>
      </c>
      <c r="C6" t="s">
        <v>5</v>
      </c>
      <c r="D6" t="s">
        <v>6</v>
      </c>
    </row>
    <row r="7" spans="1:4" hidden="1" x14ac:dyDescent="0.3">
      <c r="A7" t="s">
        <v>13</v>
      </c>
      <c r="B7" s="2">
        <v>18919</v>
      </c>
      <c r="C7" t="s">
        <v>5</v>
      </c>
      <c r="D7" t="s">
        <v>11</v>
      </c>
    </row>
    <row r="8" spans="1:4" x14ac:dyDescent="0.3">
      <c r="A8" t="s">
        <v>13</v>
      </c>
      <c r="B8" s="2">
        <v>9698</v>
      </c>
      <c r="C8" t="s">
        <v>5</v>
      </c>
      <c r="D8" t="s">
        <v>12</v>
      </c>
    </row>
    <row r="9" spans="1:4" hidden="1" x14ac:dyDescent="0.3">
      <c r="A9" t="s">
        <v>14</v>
      </c>
      <c r="B9" s="2">
        <v>14867</v>
      </c>
      <c r="C9" t="s">
        <v>5</v>
      </c>
      <c r="D9" t="s">
        <v>11</v>
      </c>
    </row>
    <row r="10" spans="1:4" hidden="1" x14ac:dyDescent="0.3">
      <c r="A10" t="s">
        <v>8</v>
      </c>
      <c r="B10" s="2">
        <v>9339</v>
      </c>
      <c r="C10" t="s">
        <v>9</v>
      </c>
      <c r="D10" t="s">
        <v>7</v>
      </c>
    </row>
    <row r="11" spans="1:4" hidden="1" x14ac:dyDescent="0.3">
      <c r="A11" t="s">
        <v>10</v>
      </c>
      <c r="B11" s="2">
        <v>7433</v>
      </c>
      <c r="C11" t="s">
        <v>9</v>
      </c>
      <c r="D11" t="s">
        <v>12</v>
      </c>
    </row>
    <row r="12" spans="1:4" hidden="1" x14ac:dyDescent="0.3">
      <c r="A12" t="s">
        <v>13</v>
      </c>
      <c r="B12" s="2">
        <v>16753</v>
      </c>
      <c r="C12" t="s">
        <v>9</v>
      </c>
      <c r="D12" t="s">
        <v>11</v>
      </c>
    </row>
    <row r="13" spans="1:4" hidden="1" x14ac:dyDescent="0.3">
      <c r="A13" t="s">
        <v>14</v>
      </c>
      <c r="B13" s="2">
        <v>10644</v>
      </c>
      <c r="C13" t="s">
        <v>9</v>
      </c>
      <c r="D13" t="s">
        <v>7</v>
      </c>
    </row>
    <row r="14" spans="1:4" hidden="1" x14ac:dyDescent="0.3">
      <c r="A14" t="s">
        <v>14</v>
      </c>
      <c r="B14" s="2">
        <v>12438</v>
      </c>
      <c r="C14" t="s">
        <v>9</v>
      </c>
      <c r="D14" t="s">
        <v>12</v>
      </c>
    </row>
    <row r="15" spans="1:4" hidden="1" x14ac:dyDescent="0.3">
      <c r="A15" t="s">
        <v>14</v>
      </c>
      <c r="B15" s="2">
        <v>19302</v>
      </c>
      <c r="C15" t="s">
        <v>9</v>
      </c>
      <c r="D15" t="s">
        <v>6</v>
      </c>
    </row>
  </sheetData>
  <autoFilter ref="A1:D15" xr:uid="{61AB294D-45BE-408C-86F0-D31B0E11A410}">
    <filterColumn colId="2">
      <filters>
        <filter val="USA"/>
      </filters>
    </filterColumn>
    <filterColumn colId="3">
      <filters>
        <filter val="Qtr 1"/>
        <filter val="Qtr 4"/>
      </filters>
    </filterColumn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5"/>
  <sheetViews>
    <sheetView workbookViewId="0">
      <selection activeCell="C32" sqref="C32"/>
    </sheetView>
  </sheetViews>
  <sheetFormatPr defaultRowHeight="14.4" x14ac:dyDescent="0.3"/>
  <cols>
    <col min="2" max="2" width="10.21875" style="2" customWidth="1"/>
  </cols>
  <sheetData>
    <row r="1" spans="1:4" x14ac:dyDescent="0.3">
      <c r="A1" s="1" t="s">
        <v>0</v>
      </c>
      <c r="B1" s="2" t="s">
        <v>1</v>
      </c>
      <c r="C1" t="s">
        <v>2</v>
      </c>
      <c r="D1" t="s">
        <v>3</v>
      </c>
    </row>
    <row r="2" spans="1:4" hidden="1" x14ac:dyDescent="0.3">
      <c r="A2" t="s">
        <v>4</v>
      </c>
      <c r="B2" s="2">
        <v>4865</v>
      </c>
      <c r="C2" t="s">
        <v>5</v>
      </c>
      <c r="D2" t="s">
        <v>6</v>
      </c>
    </row>
    <row r="3" spans="1:4" hidden="1" x14ac:dyDescent="0.3">
      <c r="A3" t="s">
        <v>4</v>
      </c>
      <c r="B3" s="2">
        <v>3255</v>
      </c>
      <c r="C3" t="s">
        <v>5</v>
      </c>
      <c r="D3" t="s">
        <v>7</v>
      </c>
    </row>
    <row r="4" spans="1:4" x14ac:dyDescent="0.3">
      <c r="A4" t="s">
        <v>8</v>
      </c>
      <c r="B4" s="2">
        <v>14808</v>
      </c>
      <c r="C4" t="s">
        <v>5</v>
      </c>
      <c r="D4" t="s">
        <v>6</v>
      </c>
    </row>
    <row r="5" spans="1:4" hidden="1" x14ac:dyDescent="0.3">
      <c r="A5" t="s">
        <v>10</v>
      </c>
      <c r="B5" s="2">
        <v>1390</v>
      </c>
      <c r="C5" t="s">
        <v>5</v>
      </c>
      <c r="D5" t="s">
        <v>11</v>
      </c>
    </row>
    <row r="6" spans="1:4" hidden="1" x14ac:dyDescent="0.3">
      <c r="A6" t="s">
        <v>10</v>
      </c>
      <c r="B6" s="2">
        <v>9213</v>
      </c>
      <c r="C6" t="s">
        <v>5</v>
      </c>
      <c r="D6" t="s">
        <v>6</v>
      </c>
    </row>
    <row r="7" spans="1:4" x14ac:dyDescent="0.3">
      <c r="A7" t="s">
        <v>13</v>
      </c>
      <c r="B7" s="2">
        <v>18919</v>
      </c>
      <c r="C7" t="s">
        <v>5</v>
      </c>
      <c r="D7" t="s">
        <v>11</v>
      </c>
    </row>
    <row r="8" spans="1:4" hidden="1" x14ac:dyDescent="0.3">
      <c r="A8" t="s">
        <v>13</v>
      </c>
      <c r="B8" s="2">
        <v>9698</v>
      </c>
      <c r="C8" t="s">
        <v>5</v>
      </c>
      <c r="D8" t="s">
        <v>12</v>
      </c>
    </row>
    <row r="9" spans="1:4" x14ac:dyDescent="0.3">
      <c r="A9" t="s">
        <v>14</v>
      </c>
      <c r="B9" s="2">
        <v>14867</v>
      </c>
      <c r="C9" t="s">
        <v>5</v>
      </c>
      <c r="D9" t="s">
        <v>11</v>
      </c>
    </row>
    <row r="10" spans="1:4" hidden="1" x14ac:dyDescent="0.3">
      <c r="A10" t="s">
        <v>8</v>
      </c>
      <c r="B10" s="2">
        <v>9339</v>
      </c>
      <c r="C10" t="s">
        <v>9</v>
      </c>
      <c r="D10" t="s">
        <v>7</v>
      </c>
    </row>
    <row r="11" spans="1:4" hidden="1" x14ac:dyDescent="0.3">
      <c r="A11" t="s">
        <v>10</v>
      </c>
      <c r="B11" s="2">
        <v>7433</v>
      </c>
      <c r="C11" t="s">
        <v>9</v>
      </c>
      <c r="D11" t="s">
        <v>12</v>
      </c>
    </row>
    <row r="12" spans="1:4" x14ac:dyDescent="0.3">
      <c r="A12" t="s">
        <v>13</v>
      </c>
      <c r="B12" s="2">
        <v>16753</v>
      </c>
      <c r="C12" t="s">
        <v>9</v>
      </c>
      <c r="D12" t="s">
        <v>11</v>
      </c>
    </row>
    <row r="13" spans="1:4" x14ac:dyDescent="0.3">
      <c r="A13" t="s">
        <v>14</v>
      </c>
      <c r="B13" s="2">
        <v>10644</v>
      </c>
      <c r="C13" t="s">
        <v>9</v>
      </c>
      <c r="D13" t="s">
        <v>7</v>
      </c>
    </row>
    <row r="14" spans="1:4" x14ac:dyDescent="0.3">
      <c r="A14" t="s">
        <v>14</v>
      </c>
      <c r="B14" s="2">
        <v>12438</v>
      </c>
      <c r="C14" t="s">
        <v>9</v>
      </c>
      <c r="D14" t="s">
        <v>12</v>
      </c>
    </row>
    <row r="15" spans="1:4" x14ac:dyDescent="0.3">
      <c r="A15" t="s">
        <v>14</v>
      </c>
      <c r="B15" s="2">
        <v>19302</v>
      </c>
      <c r="C15" t="s">
        <v>9</v>
      </c>
      <c r="D15" t="s">
        <v>6</v>
      </c>
    </row>
  </sheetData>
  <autoFilter ref="A1:D15" xr:uid="{00000000-0001-0000-0000-000000000000}">
    <filterColumn colId="1">
      <customFilters>
        <customFilter operator="greaterThan" val="100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D564-50B4-47B5-A7F7-46CED95156D7}">
  <sheetPr filterMode="1"/>
  <dimension ref="A1:D15"/>
  <sheetViews>
    <sheetView workbookViewId="0">
      <selection activeCell="J21" sqref="J21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t="s">
        <v>2</v>
      </c>
      <c r="D1" t="s">
        <v>3</v>
      </c>
    </row>
    <row r="2" spans="1:4" hidden="1" x14ac:dyDescent="0.3">
      <c r="A2" t="s">
        <v>4</v>
      </c>
      <c r="B2" s="2">
        <v>4865</v>
      </c>
      <c r="C2" t="s">
        <v>5</v>
      </c>
      <c r="D2" t="s">
        <v>6</v>
      </c>
    </row>
    <row r="3" spans="1:4" hidden="1" x14ac:dyDescent="0.3">
      <c r="A3" t="s">
        <v>4</v>
      </c>
      <c r="B3" s="2">
        <v>3255</v>
      </c>
      <c r="C3" t="s">
        <v>5</v>
      </c>
      <c r="D3" t="s">
        <v>7</v>
      </c>
    </row>
    <row r="4" spans="1:4" hidden="1" x14ac:dyDescent="0.3">
      <c r="A4" t="s">
        <v>8</v>
      </c>
      <c r="B4" s="2">
        <v>14808</v>
      </c>
      <c r="C4" t="s">
        <v>5</v>
      </c>
      <c r="D4" t="s">
        <v>6</v>
      </c>
    </row>
    <row r="5" spans="1:4" hidden="1" x14ac:dyDescent="0.3">
      <c r="A5" t="s">
        <v>10</v>
      </c>
      <c r="B5" s="2">
        <v>1390</v>
      </c>
      <c r="C5" t="s">
        <v>5</v>
      </c>
      <c r="D5" t="s">
        <v>11</v>
      </c>
    </row>
    <row r="6" spans="1:4" hidden="1" x14ac:dyDescent="0.3">
      <c r="A6" t="s">
        <v>10</v>
      </c>
      <c r="B6" s="2">
        <v>9213</v>
      </c>
      <c r="C6" t="s">
        <v>5</v>
      </c>
      <c r="D6" t="s">
        <v>6</v>
      </c>
    </row>
    <row r="7" spans="1:4" x14ac:dyDescent="0.3">
      <c r="A7" t="s">
        <v>13</v>
      </c>
      <c r="B7" s="2">
        <v>18919</v>
      </c>
      <c r="C7" t="s">
        <v>5</v>
      </c>
      <c r="D7" t="s">
        <v>11</v>
      </c>
    </row>
    <row r="8" spans="1:4" x14ac:dyDescent="0.3">
      <c r="A8" t="s">
        <v>13</v>
      </c>
      <c r="B8" s="2">
        <v>9698</v>
      </c>
      <c r="C8" t="s">
        <v>5</v>
      </c>
      <c r="D8" t="s">
        <v>12</v>
      </c>
    </row>
    <row r="9" spans="1:4" hidden="1" x14ac:dyDescent="0.3">
      <c r="A9" t="s">
        <v>14</v>
      </c>
      <c r="B9" s="2">
        <v>14867</v>
      </c>
      <c r="C9" t="s">
        <v>5</v>
      </c>
      <c r="D9" t="s">
        <v>11</v>
      </c>
    </row>
    <row r="10" spans="1:4" hidden="1" x14ac:dyDescent="0.3">
      <c r="A10" t="s">
        <v>8</v>
      </c>
      <c r="B10" s="2">
        <v>9339</v>
      </c>
      <c r="C10" t="s">
        <v>9</v>
      </c>
      <c r="D10" t="s">
        <v>7</v>
      </c>
    </row>
    <row r="11" spans="1:4" hidden="1" x14ac:dyDescent="0.3">
      <c r="A11" t="s">
        <v>10</v>
      </c>
      <c r="B11" s="2">
        <v>7433</v>
      </c>
      <c r="C11" t="s">
        <v>9</v>
      </c>
      <c r="D11" t="s">
        <v>12</v>
      </c>
    </row>
    <row r="12" spans="1:4" x14ac:dyDescent="0.3">
      <c r="A12" t="s">
        <v>13</v>
      </c>
      <c r="B12" s="2">
        <v>16753</v>
      </c>
      <c r="C12" t="s">
        <v>9</v>
      </c>
      <c r="D12" t="s">
        <v>11</v>
      </c>
    </row>
    <row r="13" spans="1:4" hidden="1" x14ac:dyDescent="0.3">
      <c r="A13" t="s">
        <v>14</v>
      </c>
      <c r="B13" s="2">
        <v>10644</v>
      </c>
      <c r="C13" t="s">
        <v>9</v>
      </c>
      <c r="D13" t="s">
        <v>7</v>
      </c>
    </row>
    <row r="14" spans="1:4" hidden="1" x14ac:dyDescent="0.3">
      <c r="A14" t="s">
        <v>14</v>
      </c>
      <c r="B14" s="2">
        <v>12438</v>
      </c>
      <c r="C14" t="s">
        <v>9</v>
      </c>
      <c r="D14" t="s">
        <v>12</v>
      </c>
    </row>
    <row r="15" spans="1:4" hidden="1" x14ac:dyDescent="0.3">
      <c r="A15" t="s">
        <v>14</v>
      </c>
      <c r="B15" s="2">
        <v>19302</v>
      </c>
      <c r="C15" t="s">
        <v>9</v>
      </c>
      <c r="D15" t="s">
        <v>6</v>
      </c>
    </row>
  </sheetData>
  <autoFilter ref="A1:D15" xr:uid="{C7D1D564-50B4-47B5-A7F7-46CED95156D7}">
    <filterColumn colId="0">
      <customFilters>
        <customFilter val="?m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0587-6416-477E-90DB-D438DA396255}">
  <dimension ref="A1:L15"/>
  <sheetViews>
    <sheetView workbookViewId="0">
      <selection activeCell="O3" sqref="O3"/>
    </sheetView>
  </sheetViews>
  <sheetFormatPr defaultRowHeight="14.4" x14ac:dyDescent="0.3"/>
  <sheetData>
    <row r="1" spans="1:12" x14ac:dyDescent="0.3">
      <c r="A1" s="1" t="s">
        <v>0</v>
      </c>
      <c r="B1" s="2" t="s">
        <v>1</v>
      </c>
      <c r="C1" t="s">
        <v>2</v>
      </c>
      <c r="D1" t="s">
        <v>3</v>
      </c>
      <c r="F1" s="1" t="s">
        <v>0</v>
      </c>
      <c r="G1" s="2" t="s">
        <v>1</v>
      </c>
      <c r="H1" t="s">
        <v>2</v>
      </c>
      <c r="I1" t="s">
        <v>3</v>
      </c>
      <c r="K1" s="1" t="s">
        <v>0</v>
      </c>
      <c r="L1" s="2"/>
    </row>
    <row r="2" spans="1:12" x14ac:dyDescent="0.3">
      <c r="A2" t="s">
        <v>4</v>
      </c>
      <c r="B2" s="2">
        <v>4865</v>
      </c>
      <c r="C2" t="s">
        <v>5</v>
      </c>
      <c r="D2" t="s">
        <v>6</v>
      </c>
      <c r="F2" t="s">
        <v>4</v>
      </c>
      <c r="G2" s="2">
        <v>4865</v>
      </c>
      <c r="H2" t="s">
        <v>5</v>
      </c>
      <c r="I2" t="s">
        <v>6</v>
      </c>
      <c r="K2" t="s">
        <v>4</v>
      </c>
      <c r="L2" s="2"/>
    </row>
    <row r="3" spans="1:12" x14ac:dyDescent="0.3">
      <c r="A3" t="s">
        <v>4</v>
      </c>
      <c r="B3" s="2">
        <v>3255</v>
      </c>
      <c r="C3" t="s">
        <v>5</v>
      </c>
      <c r="D3" t="s">
        <v>7</v>
      </c>
      <c r="F3" t="s">
        <v>4</v>
      </c>
      <c r="G3" s="2">
        <v>3255</v>
      </c>
      <c r="H3" t="s">
        <v>5</v>
      </c>
      <c r="I3" t="s">
        <v>7</v>
      </c>
      <c r="K3" t="s">
        <v>8</v>
      </c>
      <c r="L3" s="2"/>
    </row>
    <row r="4" spans="1:12" x14ac:dyDescent="0.3">
      <c r="A4" t="s">
        <v>8</v>
      </c>
      <c r="B4" s="2">
        <v>14808</v>
      </c>
      <c r="C4" t="s">
        <v>5</v>
      </c>
      <c r="D4" t="s">
        <v>6</v>
      </c>
      <c r="F4" t="s">
        <v>8</v>
      </c>
      <c r="G4" s="2">
        <v>14808</v>
      </c>
      <c r="H4" t="s">
        <v>5</v>
      </c>
      <c r="I4" t="s">
        <v>6</v>
      </c>
      <c r="K4" t="s">
        <v>10</v>
      </c>
      <c r="L4" s="2"/>
    </row>
    <row r="5" spans="1:12" x14ac:dyDescent="0.3">
      <c r="A5" t="s">
        <v>10</v>
      </c>
      <c r="B5" s="2">
        <v>1390</v>
      </c>
      <c r="C5" t="s">
        <v>5</v>
      </c>
      <c r="D5" t="s">
        <v>11</v>
      </c>
      <c r="F5" t="s">
        <v>10</v>
      </c>
      <c r="G5" s="2">
        <v>1390</v>
      </c>
      <c r="H5" t="s">
        <v>5</v>
      </c>
      <c r="I5" t="s">
        <v>11</v>
      </c>
      <c r="K5" t="s">
        <v>13</v>
      </c>
      <c r="L5" s="2"/>
    </row>
    <row r="6" spans="1:12" x14ac:dyDescent="0.3">
      <c r="A6" t="s">
        <v>10</v>
      </c>
      <c r="B6" s="2">
        <v>9213</v>
      </c>
      <c r="C6" t="s">
        <v>5</v>
      </c>
      <c r="D6" t="s">
        <v>6</v>
      </c>
      <c r="F6" t="s">
        <v>10</v>
      </c>
      <c r="G6" s="2">
        <v>9213</v>
      </c>
      <c r="H6" t="s">
        <v>5</v>
      </c>
      <c r="I6" t="s">
        <v>6</v>
      </c>
      <c r="K6" t="s">
        <v>14</v>
      </c>
      <c r="L6" s="2"/>
    </row>
    <row r="7" spans="1:12" x14ac:dyDescent="0.3">
      <c r="A7" t="s">
        <v>13</v>
      </c>
      <c r="B7" s="2">
        <v>18919</v>
      </c>
      <c r="C7" t="s">
        <v>5</v>
      </c>
      <c r="D7" t="s">
        <v>11</v>
      </c>
      <c r="F7" t="s">
        <v>13</v>
      </c>
      <c r="G7" s="2">
        <v>18919</v>
      </c>
      <c r="H7" t="s">
        <v>5</v>
      </c>
      <c r="I7" t="s">
        <v>11</v>
      </c>
      <c r="L7" s="2"/>
    </row>
    <row r="8" spans="1:12" x14ac:dyDescent="0.3">
      <c r="A8" t="s">
        <v>13</v>
      </c>
      <c r="B8" s="2">
        <v>9698</v>
      </c>
      <c r="C8" t="s">
        <v>5</v>
      </c>
      <c r="D8" t="s">
        <v>12</v>
      </c>
      <c r="F8" t="s">
        <v>13</v>
      </c>
      <c r="G8" s="2">
        <v>9698</v>
      </c>
      <c r="H8" t="s">
        <v>5</v>
      </c>
      <c r="I8" t="s">
        <v>12</v>
      </c>
      <c r="L8" s="2"/>
    </row>
    <row r="9" spans="1:12" x14ac:dyDescent="0.3">
      <c r="A9" t="s">
        <v>14</v>
      </c>
      <c r="B9" s="2">
        <v>14867</v>
      </c>
      <c r="C9" t="s">
        <v>5</v>
      </c>
      <c r="D9" t="s">
        <v>11</v>
      </c>
      <c r="F9" t="s">
        <v>14</v>
      </c>
      <c r="G9" s="2">
        <v>14867</v>
      </c>
      <c r="H9" t="s">
        <v>5</v>
      </c>
      <c r="I9" t="s">
        <v>11</v>
      </c>
      <c r="L9" s="2"/>
    </row>
    <row r="10" spans="1:12" x14ac:dyDescent="0.3">
      <c r="A10" t="s">
        <v>8</v>
      </c>
      <c r="B10" s="2">
        <v>9339</v>
      </c>
      <c r="C10" t="s">
        <v>9</v>
      </c>
      <c r="D10" t="s">
        <v>7</v>
      </c>
      <c r="F10" t="s">
        <v>8</v>
      </c>
      <c r="G10" s="2">
        <v>9339</v>
      </c>
      <c r="H10" t="s">
        <v>9</v>
      </c>
      <c r="I10" t="s">
        <v>7</v>
      </c>
      <c r="L10" s="2"/>
    </row>
    <row r="11" spans="1:12" x14ac:dyDescent="0.3">
      <c r="A11" t="s">
        <v>10</v>
      </c>
      <c r="B11" s="2">
        <v>7433</v>
      </c>
      <c r="C11" t="s">
        <v>9</v>
      </c>
      <c r="D11" t="s">
        <v>12</v>
      </c>
      <c r="F11" t="s">
        <v>10</v>
      </c>
      <c r="G11" s="2">
        <v>7433</v>
      </c>
      <c r="H11" t="s">
        <v>9</v>
      </c>
      <c r="I11" t="s">
        <v>12</v>
      </c>
      <c r="L11" s="2"/>
    </row>
    <row r="12" spans="1:12" x14ac:dyDescent="0.3">
      <c r="A12" t="s">
        <v>14</v>
      </c>
      <c r="B12" s="2">
        <v>10644</v>
      </c>
      <c r="C12" t="s">
        <v>9</v>
      </c>
      <c r="D12" t="s">
        <v>7</v>
      </c>
      <c r="F12" t="s">
        <v>13</v>
      </c>
      <c r="G12" s="2">
        <v>16753</v>
      </c>
      <c r="H12" t="s">
        <v>9</v>
      </c>
      <c r="I12" t="s">
        <v>11</v>
      </c>
      <c r="L12" s="2"/>
    </row>
    <row r="13" spans="1:12" x14ac:dyDescent="0.3">
      <c r="A13" t="s">
        <v>14</v>
      </c>
      <c r="B13" s="2">
        <v>12438</v>
      </c>
      <c r="C13" t="s">
        <v>9</v>
      </c>
      <c r="D13" t="s">
        <v>12</v>
      </c>
      <c r="F13" t="s">
        <v>14</v>
      </c>
      <c r="G13" s="2">
        <v>10644</v>
      </c>
      <c r="H13" t="s">
        <v>9</v>
      </c>
      <c r="I13" t="s">
        <v>7</v>
      </c>
      <c r="L13" s="2"/>
    </row>
    <row r="14" spans="1:12" x14ac:dyDescent="0.3">
      <c r="A14" t="s">
        <v>14</v>
      </c>
      <c r="B14" s="2">
        <v>19302</v>
      </c>
      <c r="C14" t="s">
        <v>9</v>
      </c>
      <c r="D14" t="s">
        <v>6</v>
      </c>
      <c r="F14" t="s">
        <v>14</v>
      </c>
      <c r="G14" s="2">
        <v>12438</v>
      </c>
      <c r="H14" t="s">
        <v>9</v>
      </c>
      <c r="I14" t="s">
        <v>12</v>
      </c>
      <c r="L14" s="2"/>
    </row>
    <row r="15" spans="1:12" x14ac:dyDescent="0.3">
      <c r="F15" t="s">
        <v>14</v>
      </c>
      <c r="G15" s="2">
        <v>19302</v>
      </c>
      <c r="H15" t="s">
        <v>9</v>
      </c>
      <c r="I15" t="s">
        <v>6</v>
      </c>
      <c r="L15" s="2"/>
    </row>
  </sheetData>
  <conditionalFormatting sqref="F1:F15">
    <cfRule type="expression" dxfId="3" priority="5">
      <formula>COUNTIF($F$1:$F$15,$F$1)&gt;1</formula>
    </cfRule>
  </conditionalFormatting>
  <conditionalFormatting sqref="F1:F1048576">
    <cfRule type="expression" dxfId="1" priority="1">
      <formula>COUNTIF($F$1:F1,F1)&gt;1</formula>
    </cfRule>
    <cfRule type="expression" priority="4">
      <formula>COUNTIF($F$1:F1,F1)&gt;1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90DB-8134-4B3E-A290-99FB82B0EE1E}">
  <sheetPr filterMode="1"/>
  <dimension ref="A1:K47"/>
  <sheetViews>
    <sheetView workbookViewId="0">
      <selection activeCell="G32" sqref="G32:K46"/>
    </sheetView>
  </sheetViews>
  <sheetFormatPr defaultRowHeight="14.4" x14ac:dyDescent="0.3"/>
  <cols>
    <col min="7" max="7" width="11.6640625" customWidth="1"/>
    <col min="9" max="9" width="9.6640625" customWidth="1"/>
    <col min="10" max="10" width="9.33203125" customWidth="1"/>
  </cols>
  <sheetData>
    <row r="1" spans="1:6" x14ac:dyDescent="0.3">
      <c r="A1" s="1" t="s">
        <v>0</v>
      </c>
      <c r="B1" s="2" t="s">
        <v>1</v>
      </c>
      <c r="C1" t="s">
        <v>2</v>
      </c>
      <c r="D1" t="s">
        <v>3</v>
      </c>
    </row>
    <row r="2" spans="1:6" x14ac:dyDescent="0.3">
      <c r="A2" t="s">
        <v>4</v>
      </c>
      <c r="B2" s="2">
        <v>4865</v>
      </c>
      <c r="C2" t="s">
        <v>5</v>
      </c>
      <c r="D2" t="s">
        <v>6</v>
      </c>
    </row>
    <row r="3" spans="1:6" x14ac:dyDescent="0.3">
      <c r="A3" t="s">
        <v>4</v>
      </c>
      <c r="B3" s="2">
        <v>3255</v>
      </c>
      <c r="C3" t="s">
        <v>5</v>
      </c>
      <c r="D3" t="s">
        <v>7</v>
      </c>
      <c r="F3" s="5"/>
    </row>
    <row r="4" spans="1:6" x14ac:dyDescent="0.3">
      <c r="A4" t="s">
        <v>8</v>
      </c>
      <c r="B4" s="2">
        <v>14808</v>
      </c>
      <c r="C4" t="s">
        <v>5</v>
      </c>
      <c r="D4" t="s">
        <v>6</v>
      </c>
    </row>
    <row r="5" spans="1:6" x14ac:dyDescent="0.3">
      <c r="A5" t="s">
        <v>10</v>
      </c>
      <c r="B5" s="2">
        <v>1390</v>
      </c>
      <c r="C5" t="s">
        <v>5</v>
      </c>
      <c r="D5" t="s">
        <v>11</v>
      </c>
    </row>
    <row r="6" spans="1:6" x14ac:dyDescent="0.3">
      <c r="A6" t="s">
        <v>10</v>
      </c>
      <c r="B6" s="2">
        <v>9213</v>
      </c>
      <c r="C6" t="s">
        <v>5</v>
      </c>
      <c r="D6" t="s">
        <v>6</v>
      </c>
    </row>
    <row r="7" spans="1:6" x14ac:dyDescent="0.3">
      <c r="A7" t="s">
        <v>13</v>
      </c>
      <c r="B7" s="2">
        <v>18919</v>
      </c>
      <c r="C7" t="s">
        <v>5</v>
      </c>
      <c r="D7" t="s">
        <v>11</v>
      </c>
    </row>
    <row r="8" spans="1:6" x14ac:dyDescent="0.3">
      <c r="A8" t="s">
        <v>13</v>
      </c>
      <c r="B8" s="2">
        <v>9698</v>
      </c>
      <c r="C8" t="s">
        <v>5</v>
      </c>
      <c r="D8" t="s">
        <v>12</v>
      </c>
    </row>
    <row r="9" spans="1:6" x14ac:dyDescent="0.3">
      <c r="A9" t="s">
        <v>14</v>
      </c>
      <c r="B9" s="2">
        <v>14867</v>
      </c>
      <c r="C9" t="s">
        <v>5</v>
      </c>
      <c r="D9" t="s">
        <v>11</v>
      </c>
    </row>
    <row r="10" spans="1:6" hidden="1" x14ac:dyDescent="0.3">
      <c r="A10" t="s">
        <v>8</v>
      </c>
      <c r="B10" s="2">
        <v>9339</v>
      </c>
      <c r="C10" t="s">
        <v>9</v>
      </c>
      <c r="D10" t="s">
        <v>7</v>
      </c>
    </row>
    <row r="11" spans="1:6" hidden="1" x14ac:dyDescent="0.3">
      <c r="A11" t="s">
        <v>10</v>
      </c>
      <c r="B11" s="2">
        <v>7433</v>
      </c>
      <c r="C11" t="s">
        <v>9</v>
      </c>
      <c r="D11" t="s">
        <v>12</v>
      </c>
    </row>
    <row r="12" spans="1:6" hidden="1" x14ac:dyDescent="0.3">
      <c r="A12" t="s">
        <v>13</v>
      </c>
      <c r="B12" s="2">
        <v>16753</v>
      </c>
      <c r="C12" t="s">
        <v>9</v>
      </c>
      <c r="D12" t="s">
        <v>11</v>
      </c>
    </row>
    <row r="13" spans="1:6" hidden="1" x14ac:dyDescent="0.3">
      <c r="A13" t="s">
        <v>14</v>
      </c>
      <c r="B13" s="2">
        <v>10644</v>
      </c>
      <c r="C13" t="s">
        <v>9</v>
      </c>
      <c r="D13" t="s">
        <v>7</v>
      </c>
    </row>
    <row r="14" spans="1:6" hidden="1" x14ac:dyDescent="0.3">
      <c r="A14" t="s">
        <v>14</v>
      </c>
      <c r="B14" s="2">
        <v>12438</v>
      </c>
      <c r="C14" t="s">
        <v>9</v>
      </c>
      <c r="D14" t="s">
        <v>12</v>
      </c>
    </row>
    <row r="15" spans="1:6" hidden="1" x14ac:dyDescent="0.3">
      <c r="A15" t="s">
        <v>14</v>
      </c>
      <c r="B15" s="2">
        <v>19302</v>
      </c>
      <c r="C15" t="s">
        <v>9</v>
      </c>
      <c r="D15" t="s">
        <v>6</v>
      </c>
    </row>
    <row r="18" spans="1:11" x14ac:dyDescent="0.3">
      <c r="A18" t="s">
        <v>15</v>
      </c>
      <c r="B18" s="2">
        <f>SUM(B2:B15)</f>
        <v>152924</v>
      </c>
    </row>
    <row r="19" spans="1:11" x14ac:dyDescent="0.3">
      <c r="A19" t="s">
        <v>16</v>
      </c>
      <c r="B19">
        <f>SUBTOTAL(109,B2:B15)</f>
        <v>77015</v>
      </c>
      <c r="C19" s="3" t="s">
        <v>17</v>
      </c>
      <c r="D19" s="3"/>
      <c r="E19" s="3"/>
      <c r="F19" s="3"/>
      <c r="G19" s="3"/>
      <c r="H19" s="3"/>
      <c r="I19" s="3"/>
      <c r="J19" s="3"/>
    </row>
    <row r="25" spans="1:11" x14ac:dyDescent="0.3">
      <c r="A25">
        <v>10</v>
      </c>
    </row>
    <row r="26" spans="1:11" x14ac:dyDescent="0.3">
      <c r="A26" s="4">
        <v>10</v>
      </c>
    </row>
    <row r="27" spans="1:11" hidden="1" x14ac:dyDescent="0.3">
      <c r="A27" s="4">
        <v>10</v>
      </c>
    </row>
    <row r="28" spans="1:11" x14ac:dyDescent="0.3">
      <c r="A28" s="4">
        <v>10</v>
      </c>
    </row>
    <row r="29" spans="1:11" x14ac:dyDescent="0.3">
      <c r="A29" s="6">
        <f>SUM(A25:A28)</f>
        <v>40</v>
      </c>
    </row>
    <row r="30" spans="1:11" x14ac:dyDescent="0.3">
      <c r="A30" s="6">
        <f>SUBTOTAL(109,A25:A28)</f>
        <v>30</v>
      </c>
    </row>
    <row r="32" spans="1:11" x14ac:dyDescent="0.3">
      <c r="B32" s="1" t="s">
        <v>0</v>
      </c>
      <c r="C32" s="2" t="s">
        <v>1</v>
      </c>
      <c r="D32" s="4" t="s">
        <v>2</v>
      </c>
      <c r="E32" s="4" t="s">
        <v>3</v>
      </c>
      <c r="G32" s="1" t="s">
        <v>0</v>
      </c>
      <c r="H32" s="2" t="s">
        <v>1</v>
      </c>
      <c r="I32" s="4" t="s">
        <v>2</v>
      </c>
      <c r="J32" s="4" t="s">
        <v>3</v>
      </c>
      <c r="K32" t="s">
        <v>19</v>
      </c>
    </row>
    <row r="33" spans="2:11" x14ac:dyDescent="0.3">
      <c r="B33" s="4" t="s">
        <v>4</v>
      </c>
      <c r="C33" s="2">
        <v>4865</v>
      </c>
      <c r="D33" s="4" t="s">
        <v>5</v>
      </c>
      <c r="E33" s="4" t="s">
        <v>6</v>
      </c>
      <c r="G33" s="4" t="s">
        <v>4</v>
      </c>
      <c r="H33" s="2">
        <v>4865</v>
      </c>
      <c r="I33" s="4" t="s">
        <v>5</v>
      </c>
      <c r="J33" s="4" t="s">
        <v>6</v>
      </c>
      <c r="K33" t="s">
        <v>20</v>
      </c>
    </row>
    <row r="34" spans="2:11" x14ac:dyDescent="0.3">
      <c r="B34" s="4" t="s">
        <v>4</v>
      </c>
      <c r="C34" s="2">
        <v>3255</v>
      </c>
      <c r="D34" s="4" t="s">
        <v>5</v>
      </c>
      <c r="E34" s="4" t="s">
        <v>7</v>
      </c>
      <c r="G34" s="4" t="s">
        <v>4</v>
      </c>
      <c r="H34" s="2">
        <v>3255</v>
      </c>
      <c r="I34" s="4" t="s">
        <v>5</v>
      </c>
      <c r="J34" s="4" t="s">
        <v>7</v>
      </c>
      <c r="K34" s="4" t="s">
        <v>20</v>
      </c>
    </row>
    <row r="35" spans="2:11" x14ac:dyDescent="0.3">
      <c r="B35" s="4" t="s">
        <v>8</v>
      </c>
      <c r="C35" s="2">
        <v>14808</v>
      </c>
      <c r="D35" s="4" t="s">
        <v>5</v>
      </c>
      <c r="E35" s="4" t="s">
        <v>6</v>
      </c>
      <c r="G35" s="4" t="s">
        <v>8</v>
      </c>
      <c r="H35" s="2">
        <v>14808</v>
      </c>
      <c r="I35" s="4" t="s">
        <v>5</v>
      </c>
      <c r="J35" s="4" t="s">
        <v>6</v>
      </c>
      <c r="K35" s="4" t="s">
        <v>20</v>
      </c>
    </row>
    <row r="36" spans="2:11" x14ac:dyDescent="0.3">
      <c r="B36" s="4" t="s">
        <v>10</v>
      </c>
      <c r="C36" s="2">
        <v>1390</v>
      </c>
      <c r="D36" s="4" t="s">
        <v>5</v>
      </c>
      <c r="E36" s="4" t="s">
        <v>11</v>
      </c>
      <c r="G36" s="4" t="s">
        <v>10</v>
      </c>
      <c r="H36" s="2">
        <v>1390</v>
      </c>
      <c r="I36" s="4" t="s">
        <v>5</v>
      </c>
      <c r="J36" s="4" t="s">
        <v>11</v>
      </c>
      <c r="K36" s="4" t="s">
        <v>20</v>
      </c>
    </row>
    <row r="37" spans="2:11" x14ac:dyDescent="0.3">
      <c r="B37" s="4" t="s">
        <v>10</v>
      </c>
      <c r="C37" s="2">
        <v>9213</v>
      </c>
      <c r="D37" s="4" t="s">
        <v>5</v>
      </c>
      <c r="E37" s="4" t="s">
        <v>6</v>
      </c>
      <c r="G37" s="4" t="s">
        <v>10</v>
      </c>
      <c r="H37" s="2">
        <v>9213</v>
      </c>
      <c r="I37" s="4" t="s">
        <v>5</v>
      </c>
      <c r="J37" s="4" t="s">
        <v>6</v>
      </c>
      <c r="K37" s="4" t="s">
        <v>21</v>
      </c>
    </row>
    <row r="38" spans="2:11" x14ac:dyDescent="0.3">
      <c r="B38" s="4" t="s">
        <v>13</v>
      </c>
      <c r="C38" s="2">
        <v>18919</v>
      </c>
      <c r="D38" s="4" t="s">
        <v>5</v>
      </c>
      <c r="E38" s="4" t="s">
        <v>11</v>
      </c>
      <c r="G38" s="4" t="s">
        <v>13</v>
      </c>
      <c r="H38" s="2">
        <v>18919</v>
      </c>
      <c r="I38" s="4" t="s">
        <v>5</v>
      </c>
      <c r="J38" s="4" t="s">
        <v>11</v>
      </c>
      <c r="K38" s="4" t="s">
        <v>21</v>
      </c>
    </row>
    <row r="39" spans="2:11" x14ac:dyDescent="0.3">
      <c r="B39" s="4" t="s">
        <v>13</v>
      </c>
      <c r="C39" s="2">
        <v>9698</v>
      </c>
      <c r="D39" s="4" t="s">
        <v>5</v>
      </c>
      <c r="E39" s="4" t="s">
        <v>12</v>
      </c>
      <c r="G39" s="4" t="s">
        <v>13</v>
      </c>
      <c r="H39" s="2">
        <v>9698</v>
      </c>
      <c r="I39" s="4" t="s">
        <v>5</v>
      </c>
      <c r="J39" s="4" t="s">
        <v>12</v>
      </c>
      <c r="K39" s="4" t="s">
        <v>21</v>
      </c>
    </row>
    <row r="40" spans="2:11" x14ac:dyDescent="0.3">
      <c r="B40" s="4" t="s">
        <v>14</v>
      </c>
      <c r="C40" s="2">
        <v>14867</v>
      </c>
      <c r="D40" s="4" t="s">
        <v>5</v>
      </c>
      <c r="E40" s="4" t="s">
        <v>11</v>
      </c>
      <c r="G40" s="4" t="s">
        <v>14</v>
      </c>
      <c r="H40" s="2">
        <v>14867</v>
      </c>
      <c r="I40" s="4" t="s">
        <v>5</v>
      </c>
      <c r="J40" s="4" t="s">
        <v>11</v>
      </c>
      <c r="K40" s="4" t="s">
        <v>21</v>
      </c>
    </row>
    <row r="41" spans="2:11" x14ac:dyDescent="0.3">
      <c r="B41" s="4" t="s">
        <v>8</v>
      </c>
      <c r="C41" s="2">
        <v>9339</v>
      </c>
      <c r="D41" s="4" t="s">
        <v>9</v>
      </c>
      <c r="E41" s="4" t="s">
        <v>7</v>
      </c>
      <c r="G41" s="4" t="s">
        <v>8</v>
      </c>
      <c r="H41" s="2">
        <v>9339</v>
      </c>
      <c r="I41" s="4" t="s">
        <v>9</v>
      </c>
      <c r="J41" s="4" t="s">
        <v>7</v>
      </c>
      <c r="K41" s="4" t="s">
        <v>22</v>
      </c>
    </row>
    <row r="42" spans="2:11" x14ac:dyDescent="0.3">
      <c r="B42" s="4" t="s">
        <v>10</v>
      </c>
      <c r="C42" s="2">
        <v>7433</v>
      </c>
      <c r="D42" s="4" t="s">
        <v>9</v>
      </c>
      <c r="E42" s="4" t="s">
        <v>12</v>
      </c>
      <c r="G42" s="4" t="s">
        <v>10</v>
      </c>
      <c r="H42" s="2">
        <v>7433</v>
      </c>
      <c r="I42" s="4" t="s">
        <v>9</v>
      </c>
      <c r="J42" s="4" t="s">
        <v>12</v>
      </c>
      <c r="K42" s="4" t="s">
        <v>22</v>
      </c>
    </row>
    <row r="43" spans="2:11" x14ac:dyDescent="0.3">
      <c r="B43" s="4" t="s">
        <v>13</v>
      </c>
      <c r="C43" s="2">
        <v>16753</v>
      </c>
      <c r="D43" s="4" t="s">
        <v>9</v>
      </c>
      <c r="E43" s="4" t="s">
        <v>11</v>
      </c>
      <c r="G43" s="4" t="s">
        <v>13</v>
      </c>
      <c r="H43" s="2">
        <v>16753</v>
      </c>
      <c r="I43" s="4" t="s">
        <v>9</v>
      </c>
      <c r="J43" s="4" t="s">
        <v>11</v>
      </c>
      <c r="K43" s="4" t="s">
        <v>22</v>
      </c>
    </row>
    <row r="44" spans="2:11" x14ac:dyDescent="0.3">
      <c r="B44" s="4" t="s">
        <v>14</v>
      </c>
      <c r="C44" s="2">
        <v>10644</v>
      </c>
      <c r="D44" s="4" t="s">
        <v>9</v>
      </c>
      <c r="E44" s="4" t="s">
        <v>7</v>
      </c>
      <c r="G44" s="4" t="s">
        <v>14</v>
      </c>
      <c r="H44" s="2">
        <v>10644</v>
      </c>
      <c r="I44" s="4" t="s">
        <v>9</v>
      </c>
      <c r="J44" s="4" t="s">
        <v>7</v>
      </c>
      <c r="K44" s="4" t="s">
        <v>22</v>
      </c>
    </row>
    <row r="45" spans="2:11" x14ac:dyDescent="0.3">
      <c r="B45" s="4" t="s">
        <v>14</v>
      </c>
      <c r="C45" s="2">
        <v>12438</v>
      </c>
      <c r="D45" s="4" t="s">
        <v>9</v>
      </c>
      <c r="E45" s="4" t="s">
        <v>12</v>
      </c>
      <c r="G45" s="4" t="s">
        <v>14</v>
      </c>
      <c r="H45" s="2">
        <v>12438</v>
      </c>
      <c r="I45" s="4" t="s">
        <v>9</v>
      </c>
      <c r="J45" s="4" t="s">
        <v>12</v>
      </c>
      <c r="K45" s="4" t="s">
        <v>22</v>
      </c>
    </row>
    <row r="46" spans="2:11" x14ac:dyDescent="0.3">
      <c r="B46" s="4" t="s">
        <v>14</v>
      </c>
      <c r="C46" s="2">
        <v>19302</v>
      </c>
      <c r="D46" s="4" t="s">
        <v>9</v>
      </c>
      <c r="E46" s="4" t="s">
        <v>6</v>
      </c>
      <c r="G46" s="4" t="s">
        <v>14</v>
      </c>
      <c r="H46" s="2">
        <v>19302</v>
      </c>
      <c r="I46" s="4" t="s">
        <v>9</v>
      </c>
      <c r="J46" s="4" t="s">
        <v>6</v>
      </c>
      <c r="K46" s="4" t="s">
        <v>22</v>
      </c>
    </row>
    <row r="47" spans="2:11" x14ac:dyDescent="0.3">
      <c r="B47" s="4" t="s">
        <v>18</v>
      </c>
      <c r="C47" s="2">
        <f>SUBTOTAL(109,Table1[Sales])</f>
        <v>152924</v>
      </c>
      <c r="D47" s="4"/>
      <c r="E47" s="4">
        <f>SUBTOTAL(103,Table1[Quarter])</f>
        <v>14</v>
      </c>
      <c r="K47" s="4"/>
    </row>
  </sheetData>
  <autoFilter ref="A1:D15" xr:uid="{80CB90DB-8134-4B3E-A290-99FB82B0EE1E}">
    <filterColumn colId="2">
      <filters>
        <filter val="USA"/>
      </filters>
    </filterColumn>
  </autoFilter>
  <mergeCells count="1">
    <mergeCell ref="C19:J19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CBA6-E9BA-4B32-A4CC-9883BEF1DF67}">
  <sheetPr filterMode="1"/>
  <dimension ref="A1:K43"/>
  <sheetViews>
    <sheetView topLeftCell="A8" workbookViewId="0">
      <selection activeCell="H38" sqref="H38"/>
    </sheetView>
  </sheetViews>
  <sheetFormatPr defaultRowHeight="14.4" x14ac:dyDescent="0.3"/>
  <sheetData>
    <row r="1" spans="1:11" x14ac:dyDescent="0.3">
      <c r="A1" s="1" t="s">
        <v>0</v>
      </c>
      <c r="B1" s="2" t="s">
        <v>1</v>
      </c>
      <c r="C1" t="s">
        <v>2</v>
      </c>
      <c r="D1" t="s">
        <v>3</v>
      </c>
      <c r="F1" s="1" t="s">
        <v>0</v>
      </c>
      <c r="H1" t="s">
        <v>23</v>
      </c>
      <c r="I1" t="str" cm="1">
        <f t="array" ref="I1:I6">_xlfn.UNIQUE(H1:H9)</f>
        <v>Lion</v>
      </c>
      <c r="J1" t="str" cm="1">
        <f t="array" ref="J1:J3">_xlfn.UNIQUE(H1:H9,0,1)</f>
        <v>Rat</v>
      </c>
      <c r="K1" t="str" cm="1">
        <f t="array" ref="K1:K6">_xlfn.UNIQUE(H1:H9,0,0)</f>
        <v>Lion</v>
      </c>
    </row>
    <row r="2" spans="1:11" x14ac:dyDescent="0.3">
      <c r="A2" t="s">
        <v>4</v>
      </c>
      <c r="B2" s="2">
        <v>4865</v>
      </c>
      <c r="C2" t="s">
        <v>5</v>
      </c>
      <c r="D2" t="s">
        <v>6</v>
      </c>
      <c r="F2" s="4" t="s">
        <v>4</v>
      </c>
      <c r="H2" t="s">
        <v>24</v>
      </c>
      <c r="I2" t="str">
        <v>Rat</v>
      </c>
      <c r="J2" t="str">
        <v>Mouse</v>
      </c>
      <c r="K2" t="str">
        <v>Rat</v>
      </c>
    </row>
    <row r="3" spans="1:11" x14ac:dyDescent="0.3">
      <c r="A3" t="s">
        <v>4</v>
      </c>
      <c r="B3" s="2">
        <v>3255</v>
      </c>
      <c r="C3" t="s">
        <v>5</v>
      </c>
      <c r="D3" t="s">
        <v>7</v>
      </c>
      <c r="F3" s="4" t="s">
        <v>8</v>
      </c>
      <c r="H3" t="s">
        <v>25</v>
      </c>
      <c r="I3" t="str">
        <v>Mouse</v>
      </c>
      <c r="J3" t="str">
        <v>Ant</v>
      </c>
      <c r="K3" t="str">
        <v>Mouse</v>
      </c>
    </row>
    <row r="4" spans="1:11" x14ac:dyDescent="0.3">
      <c r="A4" t="s">
        <v>8</v>
      </c>
      <c r="B4" s="2">
        <v>14808</v>
      </c>
      <c r="C4" t="s">
        <v>5</v>
      </c>
      <c r="D4" t="s">
        <v>6</v>
      </c>
      <c r="F4" s="4" t="s">
        <v>10</v>
      </c>
      <c r="H4" t="s">
        <v>26</v>
      </c>
      <c r="I4" t="str">
        <v>Elephant</v>
      </c>
      <c r="K4" t="str">
        <v>Elephant</v>
      </c>
    </row>
    <row r="5" spans="1:11" x14ac:dyDescent="0.3">
      <c r="A5" t="s">
        <v>10</v>
      </c>
      <c r="B5" s="2">
        <v>1390</v>
      </c>
      <c r="C5" t="s">
        <v>5</v>
      </c>
      <c r="D5" t="s">
        <v>11</v>
      </c>
      <c r="F5" s="4" t="s">
        <v>13</v>
      </c>
      <c r="H5" t="s">
        <v>27</v>
      </c>
      <c r="I5" t="str">
        <v>Horse</v>
      </c>
      <c r="K5" t="str">
        <v>Horse</v>
      </c>
    </row>
    <row r="6" spans="1:11" x14ac:dyDescent="0.3">
      <c r="A6" t="s">
        <v>10</v>
      </c>
      <c r="B6" s="2">
        <v>9213</v>
      </c>
      <c r="C6" t="s">
        <v>5</v>
      </c>
      <c r="D6" t="s">
        <v>6</v>
      </c>
      <c r="F6" s="4" t="s">
        <v>14</v>
      </c>
      <c r="H6" t="s">
        <v>23</v>
      </c>
      <c r="I6" t="str">
        <v>Ant</v>
      </c>
      <c r="K6" t="str">
        <v>Ant</v>
      </c>
    </row>
    <row r="7" spans="1:11" x14ac:dyDescent="0.3">
      <c r="A7" t="s">
        <v>13</v>
      </c>
      <c r="B7" s="2">
        <v>18919</v>
      </c>
      <c r="C7" t="s">
        <v>5</v>
      </c>
      <c r="D7" t="s">
        <v>11</v>
      </c>
      <c r="F7" s="4"/>
      <c r="H7" t="s">
        <v>26</v>
      </c>
    </row>
    <row r="8" spans="1:11" x14ac:dyDescent="0.3">
      <c r="A8" t="s">
        <v>13</v>
      </c>
      <c r="B8" s="2">
        <v>9698</v>
      </c>
      <c r="C8" t="s">
        <v>5</v>
      </c>
      <c r="D8" t="s">
        <v>12</v>
      </c>
      <c r="F8" s="4"/>
      <c r="H8" t="s">
        <v>27</v>
      </c>
    </row>
    <row r="9" spans="1:11" x14ac:dyDescent="0.3">
      <c r="A9" t="s">
        <v>14</v>
      </c>
      <c r="B9" s="2">
        <v>14867</v>
      </c>
      <c r="C9" t="s">
        <v>5</v>
      </c>
      <c r="D9" t="s">
        <v>11</v>
      </c>
      <c r="F9" s="4"/>
      <c r="H9" t="s">
        <v>28</v>
      </c>
    </row>
    <row r="10" spans="1:11" x14ac:dyDescent="0.3">
      <c r="A10" t="s">
        <v>8</v>
      </c>
      <c r="B10" s="2">
        <v>9339</v>
      </c>
      <c r="C10" t="s">
        <v>9</v>
      </c>
      <c r="D10" t="s">
        <v>7</v>
      </c>
      <c r="F10" s="4"/>
    </row>
    <row r="11" spans="1:11" x14ac:dyDescent="0.3">
      <c r="A11" t="s">
        <v>10</v>
      </c>
      <c r="B11" s="2">
        <v>7433</v>
      </c>
      <c r="C11" t="s">
        <v>9</v>
      </c>
      <c r="D11" t="s">
        <v>12</v>
      </c>
      <c r="F11" s="4"/>
    </row>
    <row r="12" spans="1:11" x14ac:dyDescent="0.3">
      <c r="A12" t="s">
        <v>13</v>
      </c>
      <c r="B12" s="2">
        <v>16753</v>
      </c>
      <c r="C12" t="s">
        <v>9</v>
      </c>
      <c r="D12" t="s">
        <v>11</v>
      </c>
      <c r="F12" s="4"/>
    </row>
    <row r="13" spans="1:11" x14ac:dyDescent="0.3">
      <c r="A13" t="s">
        <v>14</v>
      </c>
      <c r="B13" s="2">
        <v>10644</v>
      </c>
      <c r="C13" t="s">
        <v>9</v>
      </c>
      <c r="D13" t="s">
        <v>7</v>
      </c>
      <c r="F13" s="4"/>
    </row>
    <row r="14" spans="1:11" x14ac:dyDescent="0.3">
      <c r="A14" t="s">
        <v>14</v>
      </c>
      <c r="B14" s="2">
        <v>12438</v>
      </c>
      <c r="C14" t="s">
        <v>9</v>
      </c>
      <c r="D14" t="s">
        <v>12</v>
      </c>
      <c r="F14" s="4"/>
    </row>
    <row r="15" spans="1:11" x14ac:dyDescent="0.3">
      <c r="A15" t="s">
        <v>14</v>
      </c>
      <c r="B15" s="2">
        <v>19302</v>
      </c>
      <c r="C15" t="s">
        <v>9</v>
      </c>
      <c r="D15" t="s">
        <v>6</v>
      </c>
      <c r="F15" s="4"/>
    </row>
    <row r="18" spans="1:1" x14ac:dyDescent="0.3">
      <c r="A18" s="1" t="s">
        <v>0</v>
      </c>
    </row>
    <row r="19" spans="1:1" x14ac:dyDescent="0.3">
      <c r="A19" s="4" t="s">
        <v>4</v>
      </c>
    </row>
    <row r="20" spans="1:1" hidden="1" x14ac:dyDescent="0.3">
      <c r="A20" s="4" t="s">
        <v>4</v>
      </c>
    </row>
    <row r="21" spans="1:1" x14ac:dyDescent="0.3">
      <c r="A21" s="4" t="s">
        <v>8</v>
      </c>
    </row>
    <row r="22" spans="1:1" x14ac:dyDescent="0.3">
      <c r="A22" s="4" t="s">
        <v>10</v>
      </c>
    </row>
    <row r="23" spans="1:1" hidden="1" x14ac:dyDescent="0.3">
      <c r="A23" s="4" t="s">
        <v>10</v>
      </c>
    </row>
    <row r="24" spans="1:1" x14ac:dyDescent="0.3">
      <c r="A24" s="4" t="s">
        <v>13</v>
      </c>
    </row>
    <row r="25" spans="1:1" hidden="1" x14ac:dyDescent="0.3">
      <c r="A25" s="4" t="s">
        <v>13</v>
      </c>
    </row>
    <row r="26" spans="1:1" x14ac:dyDescent="0.3">
      <c r="A26" s="4" t="s">
        <v>14</v>
      </c>
    </row>
    <row r="27" spans="1:1" hidden="1" x14ac:dyDescent="0.3">
      <c r="A27" s="4" t="s">
        <v>8</v>
      </c>
    </row>
    <row r="28" spans="1:1" hidden="1" x14ac:dyDescent="0.3">
      <c r="A28" s="4" t="s">
        <v>10</v>
      </c>
    </row>
    <row r="29" spans="1:1" hidden="1" x14ac:dyDescent="0.3">
      <c r="A29" s="4" t="s">
        <v>13</v>
      </c>
    </row>
    <row r="30" spans="1:1" hidden="1" x14ac:dyDescent="0.3">
      <c r="A30" s="4" t="s">
        <v>14</v>
      </c>
    </row>
    <row r="31" spans="1:1" hidden="1" x14ac:dyDescent="0.3">
      <c r="A31" s="4" t="s">
        <v>14</v>
      </c>
    </row>
    <row r="32" spans="1:1" hidden="1" x14ac:dyDescent="0.3">
      <c r="A32" s="4" t="s">
        <v>14</v>
      </c>
    </row>
    <row r="35" spans="1:2" x14ac:dyDescent="0.3">
      <c r="A35" s="4" t="s">
        <v>23</v>
      </c>
      <c r="B35" s="4" t="s">
        <v>23</v>
      </c>
    </row>
    <row r="36" spans="1:2" x14ac:dyDescent="0.3">
      <c r="A36" s="4" t="s">
        <v>24</v>
      </c>
      <c r="B36" s="4" t="s">
        <v>24</v>
      </c>
    </row>
    <row r="37" spans="1:2" x14ac:dyDescent="0.3">
      <c r="A37" s="4" t="s">
        <v>25</v>
      </c>
      <c r="B37" s="4" t="s">
        <v>25</v>
      </c>
    </row>
    <row r="38" spans="1:2" x14ac:dyDescent="0.3">
      <c r="A38" s="4" t="s">
        <v>26</v>
      </c>
      <c r="B38" s="4" t="s">
        <v>26</v>
      </c>
    </row>
    <row r="39" spans="1:2" x14ac:dyDescent="0.3">
      <c r="A39" s="4" t="s">
        <v>27</v>
      </c>
      <c r="B39" s="4" t="s">
        <v>27</v>
      </c>
    </row>
    <row r="40" spans="1:2" x14ac:dyDescent="0.3">
      <c r="A40" s="4" t="s">
        <v>28</v>
      </c>
      <c r="B40" s="4" t="s">
        <v>23</v>
      </c>
    </row>
    <row r="41" spans="1:2" x14ac:dyDescent="0.3">
      <c r="B41" s="4" t="s">
        <v>26</v>
      </c>
    </row>
    <row r="42" spans="1:2" x14ac:dyDescent="0.3">
      <c r="B42" s="4" t="s">
        <v>27</v>
      </c>
    </row>
    <row r="43" spans="1:2" x14ac:dyDescent="0.3">
      <c r="B43" s="4" t="s">
        <v>28</v>
      </c>
    </row>
  </sheetData>
  <conditionalFormatting sqref="B35:B43">
    <cfRule type="expression" dxfId="0" priority="1">
      <formula>COUNTIF($B$35:B35,B35)&gt;1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C13E-D1B6-46CB-9FD9-DF6DCA13B8B7}">
  <dimension ref="A1:S26"/>
  <sheetViews>
    <sheetView workbookViewId="0">
      <selection activeCell="P7" sqref="P7"/>
    </sheetView>
  </sheetViews>
  <sheetFormatPr defaultRowHeight="14.4" x14ac:dyDescent="0.3"/>
  <sheetData>
    <row r="1" spans="1:19" x14ac:dyDescent="0.3">
      <c r="A1" s="1" t="s">
        <v>0</v>
      </c>
      <c r="B1" s="2" t="s">
        <v>1</v>
      </c>
      <c r="C1" s="4" t="s">
        <v>2</v>
      </c>
      <c r="D1" s="4" t="s">
        <v>3</v>
      </c>
      <c r="F1" t="str" cm="1">
        <f t="array" ref="F1:I8">_xlfn._xlws.FILTER(A1:D15,C1:C15="USA")</f>
        <v>Brown</v>
      </c>
      <c r="G1">
        <v>4865</v>
      </c>
      <c r="H1" t="str">
        <v>USA</v>
      </c>
      <c r="I1" t="str">
        <v>Qtr 4</v>
      </c>
      <c r="P1" t="str" cm="1">
        <f t="array" ref="P1:S4">_xlfn._xlws.SORT(_xlfn._xlws.FILTER(A1:D15,A1:A15="Williams"),4,1)</f>
        <v>Williams</v>
      </c>
      <c r="Q1">
        <v>12438</v>
      </c>
      <c r="R1" t="str">
        <v>UK</v>
      </c>
      <c r="S1" t="str">
        <v>Qtr 1</v>
      </c>
    </row>
    <row r="2" spans="1:19" x14ac:dyDescent="0.3">
      <c r="A2" s="4" t="s">
        <v>4</v>
      </c>
      <c r="B2" s="2">
        <v>4865</v>
      </c>
      <c r="C2" s="4" t="s">
        <v>5</v>
      </c>
      <c r="D2" s="4" t="s">
        <v>6</v>
      </c>
      <c r="F2" t="str">
        <v>Brown</v>
      </c>
      <c r="G2">
        <v>3255</v>
      </c>
      <c r="H2" t="str">
        <v>USA</v>
      </c>
      <c r="I2" t="str">
        <v>Qtr 2</v>
      </c>
      <c r="P2" t="str">
        <v>Williams</v>
      </c>
      <c r="Q2">
        <v>10644</v>
      </c>
      <c r="R2" t="str">
        <v>UK</v>
      </c>
      <c r="S2" t="str">
        <v>Qtr 2</v>
      </c>
    </row>
    <row r="3" spans="1:19" x14ac:dyDescent="0.3">
      <c r="A3" s="4" t="s">
        <v>4</v>
      </c>
      <c r="B3" s="2">
        <v>3255</v>
      </c>
      <c r="C3" s="4" t="s">
        <v>5</v>
      </c>
      <c r="D3" s="4" t="s">
        <v>7</v>
      </c>
      <c r="F3" t="str">
        <v>Johnson</v>
      </c>
      <c r="G3">
        <v>14808</v>
      </c>
      <c r="H3" t="str">
        <v>USA</v>
      </c>
      <c r="I3" t="str">
        <v>Qtr 4</v>
      </c>
      <c r="P3" t="str">
        <v>Williams</v>
      </c>
      <c r="Q3">
        <v>14867</v>
      </c>
      <c r="R3" t="str">
        <v>USA</v>
      </c>
      <c r="S3" t="str">
        <v>Qtr 3</v>
      </c>
    </row>
    <row r="4" spans="1:19" x14ac:dyDescent="0.3">
      <c r="A4" s="4" t="s">
        <v>8</v>
      </c>
      <c r="B4" s="2">
        <v>14808</v>
      </c>
      <c r="C4" s="4" t="s">
        <v>5</v>
      </c>
      <c r="D4" s="4" t="s">
        <v>6</v>
      </c>
      <c r="F4" t="str">
        <v>Jones</v>
      </c>
      <c r="G4">
        <v>1390</v>
      </c>
      <c r="H4" t="str">
        <v>USA</v>
      </c>
      <c r="I4" t="str">
        <v>Qtr 3</v>
      </c>
      <c r="P4" t="str">
        <v>Williams</v>
      </c>
      <c r="Q4">
        <v>19302</v>
      </c>
      <c r="R4" t="str">
        <v>UK</v>
      </c>
      <c r="S4" t="str">
        <v>Qtr 4</v>
      </c>
    </row>
    <row r="5" spans="1:19" x14ac:dyDescent="0.3">
      <c r="A5" s="4" t="s">
        <v>10</v>
      </c>
      <c r="B5" s="2">
        <v>1390</v>
      </c>
      <c r="C5" s="4" t="s">
        <v>5</v>
      </c>
      <c r="D5" s="4" t="s">
        <v>11</v>
      </c>
      <c r="F5" t="str">
        <v>Jones</v>
      </c>
      <c r="G5">
        <v>9213</v>
      </c>
      <c r="H5" t="str">
        <v>USA</v>
      </c>
      <c r="I5" t="str">
        <v>Qtr 4</v>
      </c>
    </row>
    <row r="6" spans="1:19" x14ac:dyDescent="0.3">
      <c r="A6" s="4" t="s">
        <v>10</v>
      </c>
      <c r="B6" s="2">
        <v>9213</v>
      </c>
      <c r="C6" s="4" t="s">
        <v>5</v>
      </c>
      <c r="D6" s="4" t="s">
        <v>6</v>
      </c>
      <c r="F6" t="str">
        <v>Smith</v>
      </c>
      <c r="G6">
        <v>18919</v>
      </c>
      <c r="H6" t="str">
        <v>USA</v>
      </c>
      <c r="I6" t="str">
        <v>Qtr 3</v>
      </c>
    </row>
    <row r="7" spans="1:19" x14ac:dyDescent="0.3">
      <c r="A7" s="4" t="s">
        <v>13</v>
      </c>
      <c r="B7" s="2">
        <v>18919</v>
      </c>
      <c r="C7" s="4" t="s">
        <v>5</v>
      </c>
      <c r="D7" s="4" t="s">
        <v>11</v>
      </c>
      <c r="F7" t="str">
        <v>Smith</v>
      </c>
      <c r="G7">
        <v>9698</v>
      </c>
      <c r="H7" t="str">
        <v>USA</v>
      </c>
      <c r="I7" t="str">
        <v>Qtr 1</v>
      </c>
    </row>
    <row r="8" spans="1:19" x14ac:dyDescent="0.3">
      <c r="A8" s="4" t="s">
        <v>13</v>
      </c>
      <c r="B8" s="2">
        <v>9698</v>
      </c>
      <c r="C8" s="4" t="s">
        <v>5</v>
      </c>
      <c r="D8" s="4" t="s">
        <v>12</v>
      </c>
      <c r="F8" t="str">
        <v>Williams</v>
      </c>
      <c r="G8">
        <v>14867</v>
      </c>
      <c r="H8" t="str">
        <v>USA</v>
      </c>
      <c r="I8" t="str">
        <v>Qtr 3</v>
      </c>
    </row>
    <row r="9" spans="1:19" x14ac:dyDescent="0.3">
      <c r="A9" s="4" t="s">
        <v>14</v>
      </c>
      <c r="B9" s="2">
        <v>14867</v>
      </c>
      <c r="C9" s="4" t="s">
        <v>5</v>
      </c>
      <c r="D9" s="4" t="s">
        <v>11</v>
      </c>
    </row>
    <row r="10" spans="1:19" x14ac:dyDescent="0.3">
      <c r="A10" s="4" t="s">
        <v>8</v>
      </c>
      <c r="B10" s="2">
        <v>9339</v>
      </c>
      <c r="C10" s="4" t="s">
        <v>9</v>
      </c>
      <c r="D10" s="4" t="s">
        <v>7</v>
      </c>
    </row>
    <row r="11" spans="1:19" x14ac:dyDescent="0.3">
      <c r="A11" s="4" t="s">
        <v>10</v>
      </c>
      <c r="B11" s="2">
        <v>7433</v>
      </c>
      <c r="C11" s="4" t="s">
        <v>9</v>
      </c>
      <c r="D11" s="4" t="s">
        <v>12</v>
      </c>
      <c r="F11" t="str" cm="1">
        <f t="array" ref="F11:I16">_xlfn._xlws.FILTER(A1:D15,(D1:D15="Qtr 1")+(D1:D15="Qtr 2"))</f>
        <v>Brown</v>
      </c>
      <c r="G11">
        <v>3255</v>
      </c>
      <c r="H11" t="str">
        <v>USA</v>
      </c>
      <c r="I11" t="str">
        <v>Qtr 2</v>
      </c>
      <c r="K11" t="str" cm="1">
        <f t="array" ref="K11:N12">_xlfn._xlws.FILTER(A1:D15,(B1:B15&gt;10000)*(D1:D15="Qtr 4"))</f>
        <v>Johnson</v>
      </c>
      <c r="L11">
        <v>14808</v>
      </c>
      <c r="M11" t="str">
        <v>USA</v>
      </c>
      <c r="N11" t="str">
        <v>Qtr 4</v>
      </c>
    </row>
    <row r="12" spans="1:19" x14ac:dyDescent="0.3">
      <c r="A12" s="4" t="s">
        <v>13</v>
      </c>
      <c r="B12" s="2">
        <v>16753</v>
      </c>
      <c r="C12" s="4" t="s">
        <v>9</v>
      </c>
      <c r="D12" s="4" t="s">
        <v>11</v>
      </c>
      <c r="F12" t="str">
        <v>Smith</v>
      </c>
      <c r="G12">
        <v>9698</v>
      </c>
      <c r="H12" t="str">
        <v>USA</v>
      </c>
      <c r="I12" t="str">
        <v>Qtr 1</v>
      </c>
      <c r="K12" t="str">
        <v>Williams</v>
      </c>
      <c r="L12">
        <v>19302</v>
      </c>
      <c r="M12" t="str">
        <v>UK</v>
      </c>
      <c r="N12" t="str">
        <v>Qtr 4</v>
      </c>
    </row>
    <row r="13" spans="1:19" x14ac:dyDescent="0.3">
      <c r="A13" s="4" t="s">
        <v>14</v>
      </c>
      <c r="B13" s="2">
        <v>10644</v>
      </c>
      <c r="C13" s="4" t="s">
        <v>9</v>
      </c>
      <c r="D13" s="4" t="s">
        <v>7</v>
      </c>
      <c r="F13" t="str">
        <v>Johnson</v>
      </c>
      <c r="G13">
        <v>9339</v>
      </c>
      <c r="H13" t="str">
        <v>UK</v>
      </c>
      <c r="I13" t="str">
        <v>Qtr 2</v>
      </c>
    </row>
    <row r="14" spans="1:19" x14ac:dyDescent="0.3">
      <c r="A14" s="4" t="s">
        <v>14</v>
      </c>
      <c r="B14" s="2">
        <v>12438</v>
      </c>
      <c r="C14" s="4" t="s">
        <v>9</v>
      </c>
      <c r="D14" s="4" t="s">
        <v>12</v>
      </c>
      <c r="F14" t="str">
        <v>Jones</v>
      </c>
      <c r="G14">
        <v>7433</v>
      </c>
      <c r="H14" t="str">
        <v>UK</v>
      </c>
      <c r="I14" t="str">
        <v>Qtr 1</v>
      </c>
    </row>
    <row r="15" spans="1:19" x14ac:dyDescent="0.3">
      <c r="A15" s="4" t="s">
        <v>14</v>
      </c>
      <c r="B15" s="2">
        <v>19302</v>
      </c>
      <c r="C15" s="4" t="s">
        <v>9</v>
      </c>
      <c r="D15" s="4" t="s">
        <v>6</v>
      </c>
      <c r="F15" t="str">
        <v>Williams</v>
      </c>
      <c r="G15">
        <v>10644</v>
      </c>
      <c r="H15" t="str">
        <v>UK</v>
      </c>
      <c r="I15" t="str">
        <v>Qtr 2</v>
      </c>
    </row>
    <row r="16" spans="1:19" x14ac:dyDescent="0.3">
      <c r="F16" t="str">
        <v>Williams</v>
      </c>
      <c r="G16">
        <v>12438</v>
      </c>
      <c r="H16" t="str">
        <v>UK</v>
      </c>
      <c r="I16" t="str">
        <v>Qtr 1</v>
      </c>
    </row>
    <row r="18" spans="1:6" x14ac:dyDescent="0.3">
      <c r="A18" t="s">
        <v>29</v>
      </c>
      <c r="B18" t="s">
        <v>9</v>
      </c>
      <c r="D18" t="s">
        <v>30</v>
      </c>
      <c r="E18" t="s">
        <v>31</v>
      </c>
    </row>
    <row r="21" spans="1:6" x14ac:dyDescent="0.3">
      <c r="A21" t="str" cm="1">
        <f t="array" ref="A21:D26">_xlfn._xlws.FILTER(A1:D15,C1:C15=B18)</f>
        <v>Johnson</v>
      </c>
      <c r="B21">
        <v>9339</v>
      </c>
      <c r="C21" t="str">
        <v>UK</v>
      </c>
      <c r="D21" t="str">
        <v>Qtr 2</v>
      </c>
      <c r="F21" s="6" t="str" cm="1">
        <f t="array" ref="F21">_xlfn._xlws.FILTER(A1:D15,C1:C15=E18,"Not Found")</f>
        <v>Not Found</v>
      </c>
    </row>
    <row r="22" spans="1:6" x14ac:dyDescent="0.3">
      <c r="A22" t="str">
        <v>Jones</v>
      </c>
      <c r="B22">
        <v>7433</v>
      </c>
      <c r="C22" t="str">
        <v>UK</v>
      </c>
      <c r="D22" t="str">
        <v>Qtr 1</v>
      </c>
    </row>
    <row r="23" spans="1:6" x14ac:dyDescent="0.3">
      <c r="A23" t="str">
        <v>Smith</v>
      </c>
      <c r="B23">
        <v>16753</v>
      </c>
      <c r="C23" t="str">
        <v>UK</v>
      </c>
      <c r="D23" t="str">
        <v>Qtr 3</v>
      </c>
    </row>
    <row r="24" spans="1:6" x14ac:dyDescent="0.3">
      <c r="A24" t="str">
        <v>Williams</v>
      </c>
      <c r="B24">
        <v>10644</v>
      </c>
      <c r="C24" t="str">
        <v>UK</v>
      </c>
      <c r="D24" t="str">
        <v>Qtr 2</v>
      </c>
    </row>
    <row r="25" spans="1:6" x14ac:dyDescent="0.3">
      <c r="A25" t="str">
        <v>Williams</v>
      </c>
      <c r="B25">
        <v>12438</v>
      </c>
      <c r="C25" t="str">
        <v>UK</v>
      </c>
      <c r="D25" t="str">
        <v>Qtr 1</v>
      </c>
    </row>
    <row r="26" spans="1:6" x14ac:dyDescent="0.3">
      <c r="A26" t="str">
        <v>Williams</v>
      </c>
      <c r="B26">
        <v>19302</v>
      </c>
      <c r="C26" t="str">
        <v>UK</v>
      </c>
      <c r="D26" t="str">
        <v>Qtr 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C33-7414-4195-A595-B72F24442864}">
  <sheetPr filterMode="1"/>
  <dimension ref="A1:B21"/>
  <sheetViews>
    <sheetView tabSelected="1" workbookViewId="0">
      <selection activeCell="D31" sqref="D31"/>
    </sheetView>
  </sheetViews>
  <sheetFormatPr defaultRowHeight="14.4" x14ac:dyDescent="0.3"/>
  <cols>
    <col min="2" max="2" width="15.88671875" customWidth="1"/>
  </cols>
  <sheetData>
    <row r="1" spans="1:2" x14ac:dyDescent="0.3">
      <c r="A1" t="s">
        <v>33</v>
      </c>
      <c r="B1" t="s">
        <v>32</v>
      </c>
    </row>
    <row r="2" spans="1:2" hidden="1" x14ac:dyDescent="0.3">
      <c r="A2" t="s">
        <v>34</v>
      </c>
      <c r="B2" s="7">
        <v>43850</v>
      </c>
    </row>
    <row r="3" spans="1:2" x14ac:dyDescent="0.3">
      <c r="A3" s="4" t="s">
        <v>35</v>
      </c>
      <c r="B3" s="7">
        <v>45688</v>
      </c>
    </row>
    <row r="4" spans="1:2" hidden="1" x14ac:dyDescent="0.3">
      <c r="A4" s="4" t="s">
        <v>36</v>
      </c>
      <c r="B4" s="7">
        <v>44229</v>
      </c>
    </row>
    <row r="5" spans="1:2" hidden="1" x14ac:dyDescent="0.3">
      <c r="A5" s="4" t="s">
        <v>37</v>
      </c>
      <c r="B5" s="7">
        <v>45082</v>
      </c>
    </row>
    <row r="6" spans="1:2" hidden="1" x14ac:dyDescent="0.3">
      <c r="A6" s="4" t="s">
        <v>38</v>
      </c>
      <c r="B6" s="7">
        <v>43850</v>
      </c>
    </row>
    <row r="7" spans="1:2" x14ac:dyDescent="0.3">
      <c r="A7" s="4" t="s">
        <v>39</v>
      </c>
      <c r="B7" s="7">
        <v>45688</v>
      </c>
    </row>
    <row r="8" spans="1:2" hidden="1" x14ac:dyDescent="0.3">
      <c r="A8" s="4" t="s">
        <v>40</v>
      </c>
      <c r="B8" s="7">
        <v>44229</v>
      </c>
    </row>
    <row r="9" spans="1:2" hidden="1" x14ac:dyDescent="0.3">
      <c r="A9" s="4" t="s">
        <v>41</v>
      </c>
      <c r="B9" s="7">
        <v>45082</v>
      </c>
    </row>
    <row r="10" spans="1:2" x14ac:dyDescent="0.3">
      <c r="A10" s="4"/>
    </row>
    <row r="11" spans="1:2" x14ac:dyDescent="0.3">
      <c r="A11" s="4"/>
    </row>
    <row r="13" spans="1:2" x14ac:dyDescent="0.3">
      <c r="A13" s="4"/>
      <c r="B13" s="4"/>
    </row>
    <row r="14" spans="1:2" x14ac:dyDescent="0.3">
      <c r="A14" s="4"/>
      <c r="B14" s="7"/>
    </row>
    <row r="15" spans="1:2" x14ac:dyDescent="0.3">
      <c r="A15" s="4"/>
      <c r="B15" s="7"/>
    </row>
    <row r="16" spans="1:2" x14ac:dyDescent="0.3">
      <c r="A16" s="4"/>
      <c r="B16" s="7"/>
    </row>
    <row r="17" spans="1:2" x14ac:dyDescent="0.3">
      <c r="A17" s="4"/>
      <c r="B17" s="7"/>
    </row>
    <row r="18" spans="1:2" x14ac:dyDescent="0.3">
      <c r="A18" s="4"/>
      <c r="B18" s="7"/>
    </row>
    <row r="19" spans="1:2" x14ac:dyDescent="0.3">
      <c r="A19" s="4"/>
      <c r="B19" s="7"/>
    </row>
    <row r="20" spans="1:2" x14ac:dyDescent="0.3">
      <c r="A20" s="4"/>
      <c r="B20" s="7"/>
    </row>
    <row r="21" spans="1:2" x14ac:dyDescent="0.3">
      <c r="A21" s="4"/>
      <c r="B21" s="7"/>
    </row>
  </sheetData>
  <autoFilter ref="A1:B9" xr:uid="{F35EBC33-7414-4195-A595-B72F24442864}">
    <filterColumn colId="1">
      <dynamicFilter type="lastYear" val="45658" maxVal="46023"/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FilterBasic</vt:lpstr>
      <vt:lpstr>NumFilter</vt:lpstr>
      <vt:lpstr>TextFilter</vt:lpstr>
      <vt:lpstr>DuplicateFilter</vt:lpstr>
      <vt:lpstr>Subtotal</vt:lpstr>
      <vt:lpstr>UniqueFilter</vt:lpstr>
      <vt:lpstr>FilterFunction</vt:lpstr>
      <vt:lpstr>DateFilter</vt:lpstr>
      <vt:lpstr>DuplicateFilter!Extract</vt:lpstr>
      <vt:lpstr>UniqueFilter!Extract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2026-01-30T14:46:52Z</dcterms:modified>
</cp:coreProperties>
</file>