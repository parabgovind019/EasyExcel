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df817dbf12b6dcf0/Desktop/Functions/Count and Sum Functions/"/>
    </mc:Choice>
  </mc:AlternateContent>
  <xr:revisionPtr revIDLastSave="495" documentId="11_F25DC773A252ABDACC1048C9A1DF6BC05ADE58E5" xr6:coauthVersionLast="47" xr6:coauthVersionMax="47" xr10:uidLastSave="{B46BCD16-E3E4-494C-8565-75A593D7F91E}"/>
  <bookViews>
    <workbookView xWindow="-108" yWindow="-108" windowWidth="23256" windowHeight="12456" firstSheet="1" activeTab="6" xr2:uid="{00000000-000D-0000-FFFF-FFFF00000000}"/>
  </bookViews>
  <sheets>
    <sheet name="Count and Sum Functions" sheetId="1" r:id="rId1"/>
    <sheet name="CountIf" sheetId="2" r:id="rId2"/>
    <sheet name="BlankandNonBlank" sheetId="3" r:id="rId3"/>
    <sheet name="CountCharacters" sheetId="4" r:id="rId4"/>
    <sheet name="NotEqualTo" sheetId="5" r:id="rId5"/>
    <sheet name="CountIfText" sheetId="6" r:id="rId6"/>
    <sheet name="Sum" sheetId="7" r:id="rId7"/>
  </sheets>
  <definedNames>
    <definedName name="Age">CountIf!$L$1:$L$10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" i="7" l="1"/>
  <c r="H15" i="7"/>
  <c r="A25" i="7"/>
  <c r="C25" i="7"/>
  <c r="A23" i="7"/>
  <c r="S1" i="7"/>
  <c r="S2" i="7"/>
  <c r="S3" i="7"/>
  <c r="S4" i="7"/>
  <c r="S5" i="7"/>
  <c r="S6" i="7"/>
  <c r="S7" i="7"/>
  <c r="S8" i="7"/>
  <c r="R9" i="7"/>
  <c r="O3" i="7"/>
  <c r="O4" i="7" s="1"/>
  <c r="O5" i="7" s="1"/>
  <c r="O6" i="7" s="1"/>
  <c r="O7" i="7" s="1"/>
  <c r="O8" i="7" s="1"/>
  <c r="O2" i="7"/>
  <c r="N5" i="7"/>
  <c r="N6" i="7"/>
  <c r="N7" i="7"/>
  <c r="N8" i="7"/>
  <c r="N2" i="7"/>
  <c r="N3" i="7"/>
  <c r="N4" i="7"/>
  <c r="N1" i="7"/>
  <c r="J11" i="7" a="1"/>
  <c r="J11" i="7" s="1"/>
  <c r="J8" i="7" a="1"/>
  <c r="J8" i="7" s="1"/>
  <c r="J5" i="7"/>
  <c r="J4" i="7" a="1"/>
  <c r="J4" i="7" s="1"/>
  <c r="J2" i="7" a="1"/>
  <c r="J2" i="7" s="1"/>
  <c r="A20" i="7" a="1"/>
  <c r="A20" i="7" s="1"/>
  <c r="A18" i="7" a="1"/>
  <c r="A18" i="7" s="1"/>
  <c r="A15" i="7" a="1"/>
  <c r="A15" i="7" s="1"/>
  <c r="I11" i="7"/>
  <c r="F11" i="7"/>
  <c r="C14" i="7"/>
  <c r="C12" i="7"/>
  <c r="A12" i="7"/>
  <c r="A21" i="6"/>
  <c r="A19" i="6"/>
  <c r="A15" i="6" a="1"/>
  <c r="A15" i="6" s="1"/>
  <c r="A13" i="6" a="1"/>
  <c r="A13" i="6" s="1"/>
  <c r="A11" i="6" a="1"/>
  <c r="A11" i="6" s="1"/>
  <c r="A10" i="6"/>
  <c r="O3" i="5"/>
  <c r="O4" i="5"/>
  <c r="O5" i="5"/>
  <c r="O6" i="5"/>
  <c r="O7" i="5"/>
  <c r="O8" i="5"/>
  <c r="O2" i="5"/>
  <c r="N3" i="5"/>
  <c r="N4" i="5"/>
  <c r="N5" i="5"/>
  <c r="N6" i="5"/>
  <c r="N7" i="5"/>
  <c r="N8" i="5"/>
  <c r="N2" i="5"/>
  <c r="K8" i="5"/>
  <c r="I12" i="5"/>
  <c r="I11" i="5"/>
  <c r="I10" i="5"/>
  <c r="G3" i="5"/>
  <c r="G4" i="5"/>
  <c r="G2" i="5"/>
  <c r="C4" i="5"/>
  <c r="C3" i="5"/>
  <c r="C2" i="5"/>
  <c r="C1" i="5"/>
  <c r="I5" i="4" a="1"/>
  <c r="I5" i="4" s="1"/>
  <c r="H5" i="4"/>
  <c r="H4" i="4"/>
  <c r="H3" i="4"/>
  <c r="E8" i="4" a="1"/>
  <c r="E8" i="4" s="1"/>
  <c r="E3" i="4"/>
  <c r="B11" i="4" a="1"/>
  <c r="B11" i="4" s="1"/>
  <c r="A8" i="4"/>
  <c r="B9" i="4" a="1"/>
  <c r="B9" i="4" s="1"/>
  <c r="B8" i="4"/>
  <c r="A3" i="4"/>
  <c r="E11" i="3"/>
  <c r="D11" i="3"/>
  <c r="B11" i="3"/>
  <c r="A11" i="3"/>
  <c r="N2" i="2"/>
  <c r="N3" i="2"/>
  <c r="N4" i="2"/>
  <c r="N5" i="2"/>
  <c r="N6" i="2"/>
  <c r="N7" i="2"/>
  <c r="N8" i="2"/>
  <c r="N9" i="2"/>
  <c r="N10" i="2"/>
  <c r="N1" i="2"/>
  <c r="M2" i="2"/>
  <c r="M3" i="2"/>
  <c r="M4" i="2"/>
  <c r="M5" i="2"/>
  <c r="M6" i="2"/>
  <c r="M7" i="2"/>
  <c r="M8" i="2"/>
  <c r="M9" i="2"/>
  <c r="M10" i="2"/>
  <c r="M1" i="2"/>
  <c r="M14" i="2"/>
  <c r="L14" i="2"/>
  <c r="J11" i="2"/>
  <c r="I11" i="2"/>
  <c r="G6" i="2" a="1"/>
  <c r="G6" i="2" s="1"/>
  <c r="G5" i="2"/>
  <c r="G3" i="2" a="1"/>
  <c r="G3" i="2"/>
  <c r="G2" i="2"/>
  <c r="G1" i="2" a="1"/>
  <c r="G1" i="2"/>
  <c r="E13" i="2"/>
  <c r="E12" i="2"/>
  <c r="E9" i="2"/>
  <c r="E8" i="2"/>
  <c r="C14" i="2"/>
  <c r="C13" i="2"/>
  <c r="C12" i="2"/>
  <c r="C11" i="2"/>
  <c r="C10" i="2"/>
  <c r="A13" i="2"/>
  <c r="A12" i="2"/>
  <c r="A11" i="2"/>
  <c r="A10" i="2"/>
  <c r="A9" i="2"/>
  <c r="A8" i="2"/>
  <c r="G15" i="1"/>
  <c r="D16" i="1"/>
  <c r="E15" i="1"/>
  <c r="D15" i="1"/>
  <c r="F15" i="1"/>
  <c r="B15" i="1"/>
  <c r="A15" i="1"/>
  <c r="C13" i="7" l="1"/>
  <c r="C15" i="7"/>
  <c r="D15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tc={DA1B6D9F-638A-4DF6-9AB1-A004FF5E0E1E}</author>
    <author>tc={EB34573B-0B1A-40A7-82B4-91DD96246636}</author>
    <author>tc={3F639322-00A9-4F43-84A4-19FA7F66AE71}</author>
    <author>tc={C0A2FBBC-1846-48B2-B9B5-4454EDFB2B99}</author>
    <author>tc={9A6A145C-F980-4642-83CD-3CB634BD8483}</author>
    <author>tc={7D0B7C69-FBA8-4D86-9E6F-F89FD5D3CC33}</author>
    <author>tc={552C196B-E67B-48F0-9F03-41B96E81F059}</author>
  </authors>
  <commentList>
    <comment ref="A15" authorId="0" shapeId="0" xr:uid="{DA1B6D9F-638A-4DF6-9AB1-A004FF5E0E1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count the number of cells that contain numbers, use the COUNT function. </t>
      </text>
    </comment>
    <comment ref="B15" authorId="1" shapeId="0" xr:uid="{EB34573B-0B1A-40A7-82B4-91DD9624663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count cells based on one criteria (for example, greater than 50), use COUNTIF function. </t>
      </text>
    </comment>
    <comment ref="D15" authorId="2" shapeId="0" xr:uid="{3F639322-00A9-4F43-84A4-19FA7F66AE7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count rows based on multiple criteria (for example, green and greater than 40), use COUNTIFS function. </t>
      </text>
    </comment>
    <comment ref="E15" authorId="3" shapeId="0" xr:uid="{C0A2FBBC-1846-48B2-B9B5-4454EDFB2B9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sum cells based on one criteria (for example, greater than 9), use SUMIF function (two arguments). </t>
      </text>
    </comment>
    <comment ref="F15" authorId="4" shapeId="0" xr:uid="{9A6A145C-F980-4642-83CD-3CB634BD8483}">
      <text>
        <t>[Threaded comment]
Your version of Excel allows you to read this threaded comment; however, any edits to it will get removed if the file is opened in a newer version of Excel. Learn more: https://go.microsoft.com/fwlink/?linkid=870924
Comment:
    sum a range of cells</t>
      </text>
    </comment>
    <comment ref="G15" authorId="5" shapeId="0" xr:uid="{7D0B7C69-FBA8-4D86-9E6F-F89FD5D3CC3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sum cells based on multiple criteria (for example, pink and grey), use SUMIFS function (first argument is the range to sum). </t>
      </text>
    </comment>
    <comment ref="D16" authorId="6" shapeId="0" xr:uid="{552C196B-E67B-48F0-9F03-41B96E81F05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sum cells based on one criteria (for example, green), use the following SUMIF function (three arguments, last argument is the range to sum).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tc={F287A52F-757C-4449-A46F-BB10CA175E38}</author>
    <author>tc={79C40A35-4F80-4B33-903D-89FDF960CEF4}</author>
    <author>tc={FCE5A49C-8E14-4DA5-871A-C42ECE0D1E1D}</author>
    <author>tc={6B0270F7-89E8-4881-9F24-39FAC2157B71}</author>
    <author>tc={C9058AD2-0C58-44B7-96D4-87D2BD41C602}</author>
    <author>tc={00662F58-6F5A-401D-999E-650807BE2917}</author>
    <author>tc={23DBC254-55CD-4D00-88AA-5CFA8FBC6526}</author>
    <author>tc={C24E2328-D62F-4D0F-96FD-F295A7675479}</author>
    <author>tc={EDABD297-38A7-4D8B-9D64-3B77FA7DB1AA}</author>
    <author>tc={8FDBD3FB-93E4-4541-AC16-7D4A3B302F9A}</author>
    <author>tc={98405B64-AB64-4648-863E-E7F55B17AA1F}</author>
  </authors>
  <commentList>
    <comment ref="G5" authorId="0" shapeId="0" xr:uid="{F287A52F-757C-4449-A46F-BB10CA175E3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counts the number of cells that contain the #NAME? error. </t>
      </text>
    </comment>
    <comment ref="G6" authorId="1" shapeId="0" xr:uid="{79C40A35-4F80-4B33-903D-89FDF960CEF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counts the total number of errors in a range of cells. </t>
      </text>
    </comment>
    <comment ref="A8" authorId="2" shapeId="0" xr:uid="{FCE5A49C-8E14-4DA5-871A-C42ECE0D1E1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Use the COUNTIF function in Excel to count cells that are equal to a value, count cells that are greater than or equal to a value, etc. </t>
      </text>
    </comment>
    <comment ref="A9" authorId="3" shapeId="0" xr:uid="{6B0270F7-89E8-4881-9F24-39FAC2157B7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Use the COUNTIF function in Excel to count cells that are equal to a value, count cells that are greater than or equal to a value, etc. </t>
      </text>
    </comment>
    <comment ref="A10" authorId="4" shapeId="0" xr:uid="{C9058AD2-0C58-44B7-96D4-87D2BD41C60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Use the COUNTIF function in Excel to count cells that are equal to a value, count cells that are greater than or equal to a value, etc. </t>
      </text>
    </comment>
    <comment ref="A11" authorId="5" shapeId="0" xr:uid="{00662F58-6F5A-401D-999E-650807BE291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Use the COUNTIF function in Excel to count cells that are equal to a value, count cells that are greater than or equal to a value, etc. 
Reply:
    the &amp; operator joins the 'greater than or equal to' symbol and the value in cell </t>
      </text>
    </comment>
    <comment ref="I11" authorId="6" shapeId="0" xr:uid="{23DBC254-55CD-4D00-88AA-5CFA8FBC6526}">
      <text>
        <t>[Threaded comment]
Your version of Excel allows you to read this threaded comment; however, any edits to it will get removed if the file is opened in a newer version of Excel. Learn more: https://go.microsoft.com/fwlink/?linkid=870924
Comment:
    Kind of and</t>
      </text>
    </comment>
    <comment ref="J11" authorId="7" shapeId="0" xr:uid="{C24E2328-D62F-4D0F-96FD-F295A7675479}">
      <text>
        <t>[Threaded comment]
Your version of Excel allows you to read this threaded comment; however, any edits to it will get removed if the file is opened in a newer version of Excel. Learn more: https://go.microsoft.com/fwlink/?linkid=870924
Comment:
    Kind of or</t>
      </text>
    </comment>
    <comment ref="A12" authorId="8" shapeId="0" xr:uid="{EDABD297-38A7-4D8B-9D64-3B77FA7DB1A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Use the COUNTIF function in Excel to count cells that are equal to a value, count cells that are greater than or equal to a value, etc. </t>
      </text>
    </comment>
    <comment ref="E12" authorId="9" shapeId="0" xr:uid="{8FDBD3FB-93E4-4541-AC16-7D4A3B302F9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Booleans are case sensitive in excel
</t>
      </text>
    </comment>
    <comment ref="A13" authorId="10" shapeId="0" xr:uid="{98405B64-AB64-4648-863E-E7F55B17AA1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Use the COUNTIF function in Excel to count cells that are equal to a value, count cells that are greater than or equal to a value, etc.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tc={AD04F8BB-E4EC-4378-A98E-401C1FA00294}</author>
    <author>tc={4C2D0BE4-E456-4C48-90E4-1BC8AE2B52C3}</author>
    <author>tc={ED61114B-5E9C-4E04-9BE1-6F58D4089B80}</author>
    <author>tc={076D8353-6DEA-4447-ABEE-FD6A69D5DF09}</author>
  </authors>
  <commentList>
    <comment ref="A11" authorId="0" shapeId="0" xr:uid="{AD04F8BB-E4EC-4378-A98E-401C1FA0029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COUNTBLANK function below counts the number of blank cells in the range  </t>
      </text>
    </comment>
    <comment ref="B11" authorId="1" shapeId="0" xr:uid="{4C2D0BE4-E456-4C48-90E4-1BC8AE2B52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COUNTA function below counts the number of nonblank cells in the range 
</t>
      </text>
    </comment>
    <comment ref="D11" authorId="2" shapeId="0" xr:uid="{ED61114B-5E9C-4E04-9BE1-6F58D4089B8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Use an empty string (two double quotes with nothing in between) to find blank cells. </t>
      </text>
    </comment>
    <comment ref="E11" authorId="3" shapeId="0" xr:uid="{076D8353-6DEA-4447-ABEE-FD6A69D5DF09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an &lt;&gt; to find non blank cells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tc={7C3B0F3F-14A3-4517-87F8-AE79924AAB8A}</author>
    <author>tc={A376C707-6BC9-4E7C-A78C-FD1BDEF2EC14}</author>
    <author>tc={8FF9F856-47AE-4563-A342-9067BD38C6E1}</author>
    <author>tc={78AF3152-0A0B-4A79-AEC3-AED82A9FE8A9}</author>
    <author>tc={32879E8A-B467-4E2A-A23E-6AD82A447441}</author>
    <author>tc={43B31443-3CB4-4489-8C3B-2E5543EEDB2D}</author>
    <author>tc={CF04DF0D-357B-4323-87E8-B1E025EF2C34}</author>
    <author>tc={7B8F432A-0A74-4DBE-9168-09393F3B47C1}</author>
  </authors>
  <commentList>
    <comment ref="A3" authorId="0" shapeId="0" xr:uid="{7C3B0F3F-14A3-4517-87F8-AE79924AAB8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LEN function in Excel counts the number of characters in a cell. </t>
      </text>
    </comment>
    <comment ref="E3" authorId="1" shapeId="0" xr:uid="{A376C707-6BC9-4E7C-A78C-FD1BDEF2EC14}">
      <text>
        <t>[Threaded comment]
Your version of Excel allows you to read this threaded comment; however, any edits to it will get removed if the file is opened in a newer version of Excel. Learn more: https://go.microsoft.com/fwlink/?linkid=870924
Comment:
    It counts how many times dof appear in e1 cell</t>
      </text>
    </comment>
    <comment ref="H4" authorId="2" shapeId="0" xr:uid="{8FF9F856-47AE-4563-A342-9067BD38C6E1}">
      <text>
        <t>[Threaded comment]
Your version of Excel allows you to read this threaded comment; however, any edits to it will get removed if the file is opened in a newer version of Excel. Learn more: https://go.microsoft.com/fwlink/?linkid=870924
Comment:
    It didn’t count capital A</t>
      </text>
    </comment>
    <comment ref="H5" authorId="3" shapeId="0" xr:uid="{78AF3152-0A0B-4A79-AEC3-AED82A9FE8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 convert upper and lower ‘a’ to lower ‘a’ and now we have 3 as count
</t>
      </text>
    </comment>
    <comment ref="A8" authorId="4" shapeId="0" xr:uid="{32879E8A-B467-4E2A-A23E-6AD82A44744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Use LEN and SUBSTITUTE to count how many times a specific character (in this example, the character a) occurs in a cell. </t>
      </text>
    </comment>
    <comment ref="E8" authorId="5" shapeId="0" xr:uid="{43B31443-3CB4-4489-8C3B-2E5543EEDB2D}">
      <text>
        <t>[Threaded comment]
Your version of Excel allows you to read this threaded comment; however, any edits to it will get removed if the file is opened in a newer version of Excel. Learn more: https://go.microsoft.com/fwlink/?linkid=870924
Comment:
    It counts number of times dog appear in cell range</t>
      </text>
    </comment>
    <comment ref="B9" authorId="6" shapeId="0" xr:uid="{CF04DF0D-357B-4323-87E8-B1E025EF2C34}">
      <text>
        <t>[Threaded comment]
Your version of Excel allows you to read this threaded comment; however, any edits to it will get removed if the file is opened in a newer version of Excel. Learn more: https://go.microsoft.com/fwlink/?linkid=870924
Comment:
    Ctrl+shift+enter to execute the array formulas. It adds curly braces automatically</t>
      </text>
    </comment>
    <comment ref="B11" authorId="7" shapeId="0" xr:uid="{7B8F432A-0A74-4DBE-9168-09393F3B47C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array formula below counts how many times a specific character (in this example, the character a) occurs in a range of cells. 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<sst xmlns="http://schemas.openxmlformats.org/spreadsheetml/2006/main" count="143" uniqueCount="61">
  <si>
    <t>red</t>
  </si>
  <si>
    <t>green</t>
  </si>
  <si>
    <t>blue</t>
  </si>
  <si>
    <t>pink</t>
  </si>
  <si>
    <t>yellow</t>
  </si>
  <si>
    <t>orange</t>
  </si>
  <si>
    <t>grey</t>
  </si>
  <si>
    <t>star</t>
  </si>
  <si>
    <t>circle</t>
  </si>
  <si>
    <t>star1</t>
  </si>
  <si>
    <t>hamstar</t>
  </si>
  <si>
    <t>rockstars</t>
  </si>
  <si>
    <t>star1234</t>
  </si>
  <si>
    <t>google</t>
  </si>
  <si>
    <t>facebook</t>
  </si>
  <si>
    <t>meta</t>
  </si>
  <si>
    <t>jio</t>
  </si>
  <si>
    <t>india</t>
  </si>
  <si>
    <t>china</t>
  </si>
  <si>
    <t>50 states</t>
  </si>
  <si>
    <t>start</t>
  </si>
  <si>
    <t>end</t>
  </si>
  <si>
    <t>open</t>
  </si>
  <si>
    <t>close</t>
  </si>
  <si>
    <t>large</t>
  </si>
  <si>
    <t>small</t>
  </si>
  <si>
    <t>dog,cat,dog,cat,horse</t>
  </si>
  <si>
    <t>dog</t>
  </si>
  <si>
    <t>dog, cat, horse, cat, dog, kite</t>
  </si>
  <si>
    <t>dog, monkey, fish</t>
  </si>
  <si>
    <t>Alaska</t>
  </si>
  <si>
    <t>ASIA</t>
  </si>
  <si>
    <t>progress</t>
  </si>
  <si>
    <t>yeelow</t>
  </si>
  <si>
    <t>country</t>
  </si>
  <si>
    <t>result</t>
  </si>
  <si>
    <t>usa</t>
  </si>
  <si>
    <t>france</t>
  </si>
  <si>
    <t>uk</t>
  </si>
  <si>
    <t>not result</t>
  </si>
  <si>
    <t>fish</t>
  </si>
  <si>
    <t>group</t>
  </si>
  <si>
    <t>sake</t>
  </si>
  <si>
    <t>Numbers, Booleans (TRUE or FALSE), blanks and errors are not counted as text.</t>
  </si>
  <si>
    <t xml:space="preserve"> The formula below counts cells with text and counts cells with Booleans.</t>
  </si>
  <si>
    <t xml:space="preserve"> The COUNTIF function also counts cells with a space character.</t>
  </si>
  <si>
    <t>The COUNTIFS function below counts cells with text and excludes cells with a space character.</t>
  </si>
  <si>
    <t xml:space="preserve"> </t>
  </si>
  <si>
    <t>jan</t>
  </si>
  <si>
    <t>feb</t>
  </si>
  <si>
    <t>mar</t>
  </si>
  <si>
    <t>apr</t>
  </si>
  <si>
    <t>may</t>
  </si>
  <si>
    <t>jun</t>
  </si>
  <si>
    <t>jul</t>
  </si>
  <si>
    <t>aug</t>
  </si>
  <si>
    <t>running sum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</si>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</sst>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475110</xdr:colOff>
      <xdr:row>1</xdr:row>
      <xdr:rowOff>45720</xdr:rowOff>
    </xdr:from>
    <xdr:to>
      <xdr:col>22</xdr:col>
      <xdr:colOff>263210</xdr:colOff>
      <xdr:row>18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62A30B-5F34-CF73-C9CA-84F34E921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09510" y="228600"/>
          <a:ext cx="4664900" cy="317754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govindparab09@outlook.com" id="{C249902F-297A-43F2-97D0-3048B519FDAE}" userId="df817dbf12b6dcf0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5" dT="2026-01-22T17:06:32.17" personId="{C249902F-297A-43F2-97D0-3048B519FDAE}" id="{DA1B6D9F-638A-4DF6-9AB1-A004FF5E0E1E}">
    <text xml:space="preserve">To count the number of cells that contain numbers, use the COUNT function. </text>
  </threadedComment>
  <threadedComment ref="B15" dT="2026-01-22T17:10:14.97" personId="{C249902F-297A-43F2-97D0-3048B519FDAE}" id="{EB34573B-0B1A-40A7-82B4-91DD96246636}">
    <text xml:space="preserve">To count cells based on one criteria (for example, greater than 50), use COUNTIF function. </text>
  </threadedComment>
  <threadedComment ref="D15" dT="2026-01-22T17:14:33.97" personId="{C249902F-297A-43F2-97D0-3048B519FDAE}" id="{3F639322-00A9-4F43-84A4-19FA7F66AE71}">
    <text xml:space="preserve">To count rows based on multiple criteria (for example, green and greater than 40), use COUNTIFS function. </text>
  </threadedComment>
  <threadedComment ref="E15" dT="2026-01-22T17:17:31.29" personId="{C249902F-297A-43F2-97D0-3048B519FDAE}" id="{C0A2FBBC-1846-48B2-B9B5-4454EDFB2B99}">
    <text xml:space="preserve">To sum cells based on one criteria (for example, greater than 9), use SUMIF function (two arguments). </text>
  </threadedComment>
  <threadedComment ref="F15" dT="2026-01-22T17:15:53.80" personId="{C249902F-297A-43F2-97D0-3048B519FDAE}" id="{9A6A145C-F980-4642-83CD-3CB634BD8483}">
    <text>sum a range of cells</text>
  </threadedComment>
  <threadedComment ref="G15" dT="2026-01-22T17:29:16.25" personId="{C249902F-297A-43F2-97D0-3048B519FDAE}" id="{7D0B7C69-FBA8-4D86-9E6F-F89FD5D3CC33}">
    <text xml:space="preserve">To sum cells based on multiple criteria (for example, pink and grey), use SUMIFS function (first argument is the range to sum). </text>
  </threadedComment>
  <threadedComment ref="D16" dT="2026-01-22T17:20:34.21" personId="{C249902F-297A-43F2-97D0-3048B519FDAE}" id="{552C196B-E67B-48F0-9F03-41B96E81F059}">
    <text xml:space="preserve">To sum cells based on one criteria (for example, green), use the following SUMIF function (three arguments, last argument is the range to sum).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5" dT="2026-01-22T18:00:22.55" personId="{C249902F-297A-43F2-97D0-3048B519FDAE}" id="{F287A52F-757C-4449-A46F-BB10CA175E38}">
    <text xml:space="preserve">counts the number of cells that contain the #NAME? error. </text>
  </threadedComment>
  <threadedComment ref="G6" dT="2026-01-22T18:00:06.72" personId="{C249902F-297A-43F2-97D0-3048B519FDAE}" id="{79C40A35-4F80-4B33-903D-89FDF960CEF4}">
    <text xml:space="preserve">counts the total number of errors in a range of cells. </text>
  </threadedComment>
  <threadedComment ref="A8" dT="2026-01-22T17:36:09.75" personId="{C249902F-297A-43F2-97D0-3048B519FDAE}" id="{FCE5A49C-8E14-4DA5-871A-C42ECE0D1E1D}">
    <text xml:space="preserve">Use the COUNTIF function in Excel to count cells that are equal to a value, count cells that are greater than or equal to a value, etc. </text>
  </threadedComment>
  <threadedComment ref="A9" dT="2026-01-22T17:36:36.99" personId="{C249902F-297A-43F2-97D0-3048B519FDAE}" id="{6B0270F7-89E8-4881-9F24-39FAC2157B71}">
    <text xml:space="preserve">Use the COUNTIF function in Excel to count cells that are equal to a value, count cells that are greater than or equal to a value, etc. </text>
  </threadedComment>
  <threadedComment ref="A10" dT="2026-01-22T17:37:39.57" personId="{C249902F-297A-43F2-97D0-3048B519FDAE}" id="{C9058AD2-0C58-44B7-96D4-87D2BD41C602}">
    <text xml:space="preserve">Use the COUNTIF function in Excel to count cells that are equal to a value, count cells that are greater than or equal to a value, etc. </text>
  </threadedComment>
  <threadedComment ref="A11" dT="2026-01-22T17:38:13.09" personId="{C249902F-297A-43F2-97D0-3048B519FDAE}" id="{00662F58-6F5A-401D-999E-650807BE2917}">
    <text xml:space="preserve">Use the COUNTIF function in Excel to count cells that are equal to a value, count cells that are greater than or equal to a value, etc. </text>
  </threadedComment>
  <threadedComment ref="A11" dT="2026-01-22T17:40:26.26" personId="{C249902F-297A-43F2-97D0-3048B519FDAE}" id="{9C614DD9-68CC-478A-95EC-35F8EBC5815A}" parentId="{00662F58-6F5A-401D-999E-650807BE2917}">
    <text xml:space="preserve">the &amp; operator joins the 'greater than or equal to' symbol and the value in cell </text>
  </threadedComment>
  <threadedComment ref="I11" dT="2026-01-22T18:03:49.66" personId="{C249902F-297A-43F2-97D0-3048B519FDAE}" id="{23DBC254-55CD-4D00-88AA-5CFA8FBC6526}">
    <text>Kind of and</text>
  </threadedComment>
  <threadedComment ref="J11" dT="2026-01-22T18:04:00.60" personId="{C249902F-297A-43F2-97D0-3048B519FDAE}" id="{C24E2328-D62F-4D0F-96FD-F295A7675479}">
    <text>Kind of or</text>
  </threadedComment>
  <threadedComment ref="A12" dT="2026-01-22T17:38:47.78" personId="{C249902F-297A-43F2-97D0-3048B519FDAE}" id="{EDABD297-38A7-4D8B-9D64-3B77FA7DB1AA}">
    <text xml:space="preserve">Use the COUNTIF function in Excel to count cells that are equal to a value, count cells that are greater than or equal to a value, etc. </text>
  </threadedComment>
  <threadedComment ref="E12" dT="2026-01-22T17:56:03.90" personId="{C249902F-297A-43F2-97D0-3048B519FDAE}" id="{8FDBD3FB-93E4-4541-AC16-7D4A3B302F9A}">
    <text xml:space="preserve">Booleans are case sensitive in excel
</text>
  </threadedComment>
  <threadedComment ref="A13" dT="2026-01-22T17:47:37.66" personId="{C249902F-297A-43F2-97D0-3048B519FDAE}" id="{98405B64-AB64-4648-863E-E7F55B17AA1F}">
    <text xml:space="preserve">Use the COUNTIF function in Excel to count cells that are equal to a value, count cells that are greater than or equal to a value, etc. 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1" dT="2026-01-25T06:37:52.55" personId="{C249902F-297A-43F2-97D0-3048B519FDAE}" id="{AD04F8BB-E4EC-4378-A98E-401C1FA00294}">
    <text xml:space="preserve">COUNTBLANK function below counts the number of blank cells in the range  </text>
  </threadedComment>
  <threadedComment ref="B11" dT="2026-01-25T06:38:49.79" personId="{C249902F-297A-43F2-97D0-3048B519FDAE}" id="{4C2D0BE4-E456-4C48-90E4-1BC8AE2B52C3}">
    <text xml:space="preserve">COUNTA function below counts the number of nonblank cells in the range 
</text>
  </threadedComment>
  <threadedComment ref="D11" dT="2026-01-25T06:42:58.43" personId="{C249902F-297A-43F2-97D0-3048B519FDAE}" id="{ED61114B-5E9C-4E04-9BE1-6F58D4089B80}">
    <text xml:space="preserve">Use an empty string (two double quotes with nothing in between) to find blank cells. </text>
  </threadedComment>
  <threadedComment ref="E11" dT="2026-01-25T06:44:38.96" personId="{C249902F-297A-43F2-97D0-3048B519FDAE}" id="{076D8353-6DEA-4447-ABEE-FD6A69D5DF09}">
    <text>Use an &lt;&gt; to find non blank cells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3" dT="2026-01-25T06:48:15.62" personId="{C249902F-297A-43F2-97D0-3048B519FDAE}" id="{7C3B0F3F-14A3-4517-87F8-AE79924AAB8A}">
    <text xml:space="preserve">LEN function in Excel counts the number of characters in a cell. </text>
  </threadedComment>
  <threadedComment ref="E3" dT="2026-01-25T07:00:41.89" personId="{C249902F-297A-43F2-97D0-3048B519FDAE}" id="{A376C707-6BC9-4E7C-A78C-FD1BDEF2EC14}">
    <text>It counts how many times dof appear in e1 cell</text>
  </threadedComment>
  <threadedComment ref="H4" dT="2026-01-25T07:08:22.62" personId="{C249902F-297A-43F2-97D0-3048B519FDAE}" id="{8FF9F856-47AE-4563-A342-9067BD38C6E1}">
    <text>It didn’t count capital A</text>
  </threadedComment>
  <threadedComment ref="H5" dT="2026-01-25T07:10:40.80" personId="{C249902F-297A-43F2-97D0-3048B519FDAE}" id="{78AF3152-0A0B-4A79-AEC3-AED82A9FE8A9}">
    <text xml:space="preserve">So convert upper and lower ‘a’ to lower ‘a’ and now we have 3 as count
</text>
  </threadedComment>
  <threadedComment ref="A8" dT="2026-01-25T06:54:58.44" personId="{C249902F-297A-43F2-97D0-3048B519FDAE}" id="{32879E8A-B467-4E2A-A23E-6AD82A447441}">
    <text xml:space="preserve">Use LEN and SUBSTITUTE to count how many times a specific character (in this example, the character a) occurs in a cell. </text>
  </threadedComment>
  <threadedComment ref="E8" dT="2026-01-25T07:06:17.69" personId="{C249902F-297A-43F2-97D0-3048B519FDAE}" id="{43B31443-3CB4-4489-8C3B-2E5543EEDB2D}">
    <text>It counts number of times dog appear in cell range</text>
  </threadedComment>
  <threadedComment ref="B9" dT="2026-01-25T06:52:23.85" personId="{C249902F-297A-43F2-97D0-3048B519FDAE}" id="{CF04DF0D-357B-4323-87E8-B1E025EF2C34}">
    <text>Ctrl+shift+enter to execute the array formulas. It adds curly braces automatically</text>
  </threadedComment>
  <threadedComment ref="B11" dT="2026-01-25T06:57:30.36" personId="{C249902F-297A-43F2-97D0-3048B519FDAE}" id="{7B8F432A-0A74-4DBE-9168-09393F3B47C1}">
    <text xml:space="preserve">The array formula below counts how many times a specific character (in this example, the character a) occurs in a range of cells.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workbookViewId="0">
      <selection activeCell="D16" sqref="D16"/>
    </sheetView>
  </sheetViews>
  <sheetFormatPr defaultRowHeight="14.4" x14ac:dyDescent="0.3"/>
  <sheetData>
    <row r="1" spans="1:9" x14ac:dyDescent="0.3">
      <c r="A1">
        <v>10</v>
      </c>
      <c r="B1">
        <v>10</v>
      </c>
      <c r="C1" s="1" t="s">
        <v>0</v>
      </c>
      <c r="D1" s="1">
        <v>10</v>
      </c>
      <c r="E1">
        <v>1</v>
      </c>
      <c r="F1">
        <v>10</v>
      </c>
      <c r="G1" s="1" t="s">
        <v>3</v>
      </c>
      <c r="H1" s="1" t="s">
        <v>0</v>
      </c>
      <c r="I1" s="1">
        <v>10</v>
      </c>
    </row>
    <row r="2" spans="1:9" x14ac:dyDescent="0.3">
      <c r="A2">
        <v>20</v>
      </c>
      <c r="B2">
        <v>20</v>
      </c>
      <c r="C2" s="1" t="s">
        <v>1</v>
      </c>
      <c r="D2" s="1">
        <v>20</v>
      </c>
      <c r="E2">
        <v>5</v>
      </c>
      <c r="F2">
        <v>20</v>
      </c>
      <c r="G2" s="1" t="s">
        <v>4</v>
      </c>
      <c r="H2" s="1" t="s">
        <v>1</v>
      </c>
      <c r="I2" s="1">
        <v>20</v>
      </c>
    </row>
    <row r="3" spans="1:9" x14ac:dyDescent="0.3">
      <c r="A3">
        <v>30</v>
      </c>
      <c r="B3">
        <v>30</v>
      </c>
      <c r="C3" s="1" t="s">
        <v>2</v>
      </c>
      <c r="D3" s="1">
        <v>30</v>
      </c>
      <c r="E3">
        <v>9</v>
      </c>
      <c r="G3" s="1" t="s">
        <v>5</v>
      </c>
      <c r="H3" s="1" t="s">
        <v>2</v>
      </c>
      <c r="I3" s="1">
        <v>30</v>
      </c>
    </row>
    <row r="4" spans="1:9" x14ac:dyDescent="0.3">
      <c r="A4">
        <v>40</v>
      </c>
      <c r="B4">
        <v>40</v>
      </c>
      <c r="C4" s="1" t="s">
        <v>0</v>
      </c>
      <c r="D4" s="1">
        <v>40</v>
      </c>
      <c r="E4">
        <v>13</v>
      </c>
      <c r="F4">
        <v>30</v>
      </c>
      <c r="G4" s="1" t="s">
        <v>3</v>
      </c>
      <c r="H4" s="1" t="s">
        <v>6</v>
      </c>
      <c r="I4" s="1">
        <v>40</v>
      </c>
    </row>
    <row r="5" spans="1:9" x14ac:dyDescent="0.3">
      <c r="A5">
        <v>50</v>
      </c>
      <c r="B5">
        <v>50</v>
      </c>
      <c r="C5" s="1" t="s">
        <v>1</v>
      </c>
      <c r="D5" s="1">
        <v>50</v>
      </c>
      <c r="E5">
        <v>17</v>
      </c>
      <c r="F5">
        <v>40</v>
      </c>
      <c r="G5" s="1" t="s">
        <v>4</v>
      </c>
      <c r="H5" s="1" t="s">
        <v>1</v>
      </c>
      <c r="I5" s="1">
        <v>50</v>
      </c>
    </row>
    <row r="6" spans="1:9" x14ac:dyDescent="0.3">
      <c r="A6">
        <v>60</v>
      </c>
      <c r="B6">
        <v>60</v>
      </c>
      <c r="C6" s="1" t="s">
        <v>2</v>
      </c>
      <c r="D6" s="1">
        <v>60</v>
      </c>
      <c r="E6">
        <v>21</v>
      </c>
      <c r="F6">
        <v>50</v>
      </c>
      <c r="G6" s="1" t="s">
        <v>5</v>
      </c>
      <c r="H6" s="1" t="s">
        <v>2</v>
      </c>
      <c r="I6" s="1">
        <v>60</v>
      </c>
    </row>
    <row r="7" spans="1:9" x14ac:dyDescent="0.3">
      <c r="A7">
        <v>70</v>
      </c>
      <c r="B7">
        <v>70</v>
      </c>
      <c r="E7">
        <v>25</v>
      </c>
      <c r="F7">
        <v>60</v>
      </c>
    </row>
    <row r="8" spans="1:9" x14ac:dyDescent="0.3">
      <c r="A8">
        <v>80</v>
      </c>
      <c r="B8">
        <v>80</v>
      </c>
      <c r="E8">
        <v>29</v>
      </c>
      <c r="F8">
        <v>70</v>
      </c>
    </row>
    <row r="9" spans="1:9" x14ac:dyDescent="0.3">
      <c r="A9">
        <v>90</v>
      </c>
      <c r="B9">
        <v>90</v>
      </c>
      <c r="E9">
        <v>33</v>
      </c>
      <c r="F9">
        <v>80</v>
      </c>
    </row>
    <row r="10" spans="1:9" x14ac:dyDescent="0.3">
      <c r="A10">
        <v>100</v>
      </c>
      <c r="B10">
        <v>100</v>
      </c>
      <c r="E10">
        <v>37</v>
      </c>
      <c r="F10">
        <v>100</v>
      </c>
    </row>
    <row r="15" spans="1:9" x14ac:dyDescent="0.3">
      <c r="A15">
        <f>COUNT(A1:A14)</f>
        <v>10</v>
      </c>
      <c r="B15">
        <f>COUNTIF(B1:B10,"&gt;50")</f>
        <v>5</v>
      </c>
      <c r="D15">
        <f>COUNTIFS(C1:C6,"=green",D1:D6,"&gt;30")</f>
        <v>1</v>
      </c>
      <c r="E15">
        <f>SUMIF(E1:E10,"&gt;9")</f>
        <v>175</v>
      </c>
      <c r="F15">
        <f>SUM(F1:F10)</f>
        <v>460</v>
      </c>
      <c r="G15">
        <f>SUMIFS(I1:I6,G1:G6,"=pink",H1:H6,"=grey")</f>
        <v>40</v>
      </c>
    </row>
    <row r="16" spans="1:9" x14ac:dyDescent="0.3">
      <c r="D16">
        <f>SUMIF(C1:C6,"=green",D1:D6)</f>
        <v>70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A811C-384E-4671-AD86-49D25AAB4322}">
  <dimension ref="A1:N14"/>
  <sheetViews>
    <sheetView workbookViewId="0">
      <selection activeCell="M14" sqref="M14"/>
    </sheetView>
  </sheetViews>
  <sheetFormatPr defaultRowHeight="14.4" x14ac:dyDescent="0.3"/>
  <sheetData>
    <row r="1" spans="1:14" x14ac:dyDescent="0.3">
      <c r="A1">
        <v>10</v>
      </c>
      <c r="C1" t="s">
        <v>7</v>
      </c>
      <c r="E1" t="b">
        <v>1</v>
      </c>
      <c r="G1" t="e" cm="1">
        <f t="array" ref="G1">djbhc</f>
        <v>#NAME?</v>
      </c>
      <c r="I1" t="s">
        <v>13</v>
      </c>
      <c r="J1" t="s">
        <v>17</v>
      </c>
      <c r="L1">
        <v>10</v>
      </c>
      <c r="M1">
        <f t="shared" ref="M1:M10" si="0">COUNTIF(Age,L1)</f>
        <v>2</v>
      </c>
      <c r="N1" t="str">
        <f t="shared" ref="N1:N10" si="1">IF(COUNTIF(Age,L1)&gt;1,"Duplicate","Unique")</f>
        <v>Duplicate</v>
      </c>
    </row>
    <row r="2" spans="1:14" x14ac:dyDescent="0.3">
      <c r="A2">
        <v>20</v>
      </c>
      <c r="C2" t="s">
        <v>7</v>
      </c>
      <c r="E2" t="b">
        <v>0</v>
      </c>
      <c r="G2" t="e">
        <f>2/0</f>
        <v>#DIV/0!</v>
      </c>
      <c r="I2" t="s">
        <v>14</v>
      </c>
      <c r="J2" t="s">
        <v>18</v>
      </c>
      <c r="L2">
        <v>20</v>
      </c>
      <c r="M2">
        <f t="shared" si="0"/>
        <v>1</v>
      </c>
      <c r="N2" t="str">
        <f t="shared" si="1"/>
        <v>Unique</v>
      </c>
    </row>
    <row r="3" spans="1:14" x14ac:dyDescent="0.3">
      <c r="A3">
        <v>30</v>
      </c>
      <c r="C3" t="s">
        <v>8</v>
      </c>
      <c r="E3" t="b">
        <v>1</v>
      </c>
      <c r="G3" t="e" cm="1">
        <f t="array" ref="G3">chsbj</f>
        <v>#NAME?</v>
      </c>
      <c r="I3" t="s">
        <v>15</v>
      </c>
      <c r="J3" t="s">
        <v>17</v>
      </c>
      <c r="L3">
        <v>10</v>
      </c>
      <c r="M3">
        <f t="shared" si="0"/>
        <v>2</v>
      </c>
      <c r="N3" t="str">
        <f t="shared" si="1"/>
        <v>Duplicate</v>
      </c>
    </row>
    <row r="4" spans="1:14" x14ac:dyDescent="0.3">
      <c r="A4">
        <v>40</v>
      </c>
      <c r="E4" t="b">
        <v>0</v>
      </c>
      <c r="I4" t="s">
        <v>16</v>
      </c>
      <c r="J4" t="s">
        <v>17</v>
      </c>
      <c r="L4">
        <v>40</v>
      </c>
      <c r="M4">
        <f t="shared" si="0"/>
        <v>1</v>
      </c>
      <c r="N4" t="str">
        <f t="shared" si="1"/>
        <v>Unique</v>
      </c>
    </row>
    <row r="5" spans="1:14" x14ac:dyDescent="0.3">
      <c r="A5">
        <v>50</v>
      </c>
      <c r="C5" t="s">
        <v>9</v>
      </c>
      <c r="E5">
        <v>1</v>
      </c>
      <c r="G5">
        <f>COUNTIF(G1:G3,"#NAME?")</f>
        <v>2</v>
      </c>
      <c r="I5" t="s">
        <v>13</v>
      </c>
      <c r="J5" t="s">
        <v>18</v>
      </c>
      <c r="L5">
        <v>50</v>
      </c>
      <c r="M5">
        <f t="shared" si="0"/>
        <v>2</v>
      </c>
      <c r="N5" t="str">
        <f t="shared" si="1"/>
        <v>Duplicate</v>
      </c>
    </row>
    <row r="6" spans="1:14" x14ac:dyDescent="0.3">
      <c r="C6" t="s">
        <v>10</v>
      </c>
      <c r="E6">
        <v>0</v>
      </c>
      <c r="G6" cm="1">
        <f t="array" ref="G6">COUNT(IF(ISERROR(G1:G3),1,""))</f>
        <v>3</v>
      </c>
      <c r="I6" t="s">
        <v>16</v>
      </c>
      <c r="J6" t="s">
        <v>18</v>
      </c>
      <c r="L6">
        <v>60</v>
      </c>
      <c r="M6">
        <f t="shared" si="0"/>
        <v>1</v>
      </c>
      <c r="N6" t="str">
        <f t="shared" si="1"/>
        <v>Unique</v>
      </c>
    </row>
    <row r="7" spans="1:14" x14ac:dyDescent="0.3">
      <c r="A7">
        <v>30</v>
      </c>
      <c r="C7" t="s">
        <v>11</v>
      </c>
      <c r="E7" t="b">
        <v>1</v>
      </c>
      <c r="L7">
        <v>70</v>
      </c>
      <c r="M7">
        <f t="shared" si="0"/>
        <v>1</v>
      </c>
      <c r="N7" t="str">
        <f t="shared" si="1"/>
        <v>Unique</v>
      </c>
    </row>
    <row r="8" spans="1:14" x14ac:dyDescent="0.3">
      <c r="A8">
        <f>COUNTIF(A1:A5,"&gt;20")</f>
        <v>3</v>
      </c>
      <c r="C8" t="s">
        <v>12</v>
      </c>
      <c r="E8" t="str">
        <f>"true"</f>
        <v>true</v>
      </c>
      <c r="L8">
        <v>50</v>
      </c>
      <c r="M8">
        <f t="shared" si="0"/>
        <v>2</v>
      </c>
      <c r="N8" t="str">
        <f t="shared" si="1"/>
        <v>Duplicate</v>
      </c>
    </row>
    <row r="9" spans="1:14" x14ac:dyDescent="0.3">
      <c r="A9">
        <f>COUNTIF(A1:A5,"=20")</f>
        <v>1</v>
      </c>
      <c r="E9" t="str">
        <f>"false"</f>
        <v>false</v>
      </c>
      <c r="L9">
        <v>90</v>
      </c>
      <c r="M9">
        <f t="shared" si="0"/>
        <v>1</v>
      </c>
      <c r="N9" t="str">
        <f t="shared" si="1"/>
        <v>Unique</v>
      </c>
    </row>
    <row r="10" spans="1:14" x14ac:dyDescent="0.3">
      <c r="A10">
        <f>COUNTIF(A1:A5,A7)</f>
        <v>1</v>
      </c>
      <c r="C10">
        <f>COUNTIF(C1:C8,"star")</f>
        <v>2</v>
      </c>
      <c r="L10">
        <v>100</v>
      </c>
      <c r="M10">
        <f t="shared" si="0"/>
        <v>1</v>
      </c>
      <c r="N10" t="str">
        <f t="shared" si="1"/>
        <v>Unique</v>
      </c>
    </row>
    <row r="11" spans="1:14" x14ac:dyDescent="0.3">
      <c r="A11">
        <f>COUNTIF(A1:A5,"&gt;="&amp;A7)</f>
        <v>3</v>
      </c>
      <c r="C11">
        <f>COUNTIF(C1:C8,"star?")</f>
        <v>1</v>
      </c>
      <c r="I11">
        <f>COUNTIFS(I1:I6,"google",J1:J6,"china")</f>
        <v>1</v>
      </c>
      <c r="J11">
        <f>COUNTIF(I1:I6,"facebook")+COUNTIF(J1:J6,"china")</f>
        <v>4</v>
      </c>
    </row>
    <row r="12" spans="1:14" x14ac:dyDescent="0.3">
      <c r="A12">
        <f>COUNTIF(A1:A5,"&lt;&gt;30")</f>
        <v>4</v>
      </c>
      <c r="C12">
        <f>COUNTIF(C1:C8,"star*")</f>
        <v>4</v>
      </c>
      <c r="E12">
        <f>COUNTIF(E1:E10,"true")</f>
        <v>3</v>
      </c>
    </row>
    <row r="13" spans="1:14" x14ac:dyDescent="0.3">
      <c r="A13">
        <f>COUNTIF(A1:A5,"&gt;30")+COUNTIF(A1:A5,"&lt;20")</f>
        <v>3</v>
      </c>
      <c r="C13">
        <f>COUNTIF(C1:C8,"*")</f>
        <v>7</v>
      </c>
      <c r="E13">
        <f>COUNTIF(E1:E10,FALSE)</f>
        <v>2</v>
      </c>
    </row>
    <row r="14" spans="1:14" x14ac:dyDescent="0.3">
      <c r="C14">
        <f>COUNTIF(C1:C8,"*star*")</f>
        <v>6</v>
      </c>
      <c r="L14">
        <f>COUNTIF(Age,"&gt;20")</f>
        <v>7</v>
      </c>
      <c r="M14">
        <f>COUNTIF(Age,"&gt;="&amp;AVERAGE(Age))</f>
        <v>6</v>
      </c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F6362-7952-4962-A5A1-28261A1C537F}">
  <dimension ref="A1:E11"/>
  <sheetViews>
    <sheetView workbookViewId="0">
      <selection activeCell="K20" sqref="K20"/>
    </sheetView>
  </sheetViews>
  <sheetFormatPr defaultRowHeight="14.4" x14ac:dyDescent="0.3"/>
  <sheetData>
    <row r="1" spans="1:5" x14ac:dyDescent="0.3">
      <c r="A1">
        <v>10</v>
      </c>
      <c r="B1">
        <v>10</v>
      </c>
      <c r="D1" t="s">
        <v>3</v>
      </c>
      <c r="E1">
        <v>10</v>
      </c>
    </row>
    <row r="2" spans="1:5" x14ac:dyDescent="0.3">
      <c r="A2">
        <v>20</v>
      </c>
      <c r="B2">
        <v>20</v>
      </c>
      <c r="D2" t="s">
        <v>2</v>
      </c>
      <c r="E2">
        <v>20</v>
      </c>
    </row>
    <row r="3" spans="1:5" x14ac:dyDescent="0.3">
      <c r="D3" t="s">
        <v>3</v>
      </c>
    </row>
    <row r="4" spans="1:5" x14ac:dyDescent="0.3">
      <c r="A4">
        <v>30</v>
      </c>
      <c r="B4">
        <v>30</v>
      </c>
      <c r="D4" t="s">
        <v>2</v>
      </c>
      <c r="E4">
        <v>10</v>
      </c>
    </row>
    <row r="5" spans="1:5" x14ac:dyDescent="0.3">
      <c r="B5" t="s">
        <v>7</v>
      </c>
      <c r="D5" t="s">
        <v>3</v>
      </c>
      <c r="E5">
        <v>10</v>
      </c>
    </row>
    <row r="6" spans="1:5" x14ac:dyDescent="0.3">
      <c r="A6">
        <v>50</v>
      </c>
      <c r="B6">
        <v>50</v>
      </c>
      <c r="D6" t="s">
        <v>2</v>
      </c>
    </row>
    <row r="7" spans="1:5" x14ac:dyDescent="0.3">
      <c r="A7">
        <v>80</v>
      </c>
      <c r="B7">
        <v>80</v>
      </c>
      <c r="D7" t="s">
        <v>3</v>
      </c>
      <c r="E7">
        <v>10</v>
      </c>
    </row>
    <row r="8" spans="1:5" x14ac:dyDescent="0.3">
      <c r="D8" t="s">
        <v>2</v>
      </c>
    </row>
    <row r="9" spans="1:5" x14ac:dyDescent="0.3">
      <c r="A9">
        <v>90</v>
      </c>
      <c r="B9">
        <v>90</v>
      </c>
      <c r="D9" t="s">
        <v>3</v>
      </c>
      <c r="E9">
        <v>10</v>
      </c>
    </row>
    <row r="11" spans="1:5" x14ac:dyDescent="0.3">
      <c r="A11">
        <f>COUNTBLANK(A1:A9)</f>
        <v>3</v>
      </c>
      <c r="B11">
        <f>COUNTA(B1:B9)</f>
        <v>7</v>
      </c>
      <c r="D11">
        <f>COUNTIFS(D1:D9,"=blue",E1:E9,"")</f>
        <v>2</v>
      </c>
      <c r="E11">
        <f>COUNTIFS(D1:D9,"=pink",E1:E9,"&lt;&gt;")</f>
        <v>4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3771A-FC14-4D93-B956-56F39F1C2F76}">
  <dimension ref="A1:I11"/>
  <sheetViews>
    <sheetView workbookViewId="0">
      <selection activeCell="K12" sqref="K12"/>
    </sheetView>
  </sheetViews>
  <sheetFormatPr defaultRowHeight="14.4" x14ac:dyDescent="0.3"/>
  <sheetData>
    <row r="1" spans="1:9" x14ac:dyDescent="0.3">
      <c r="A1" t="s">
        <v>19</v>
      </c>
      <c r="B1" t="s">
        <v>20</v>
      </c>
      <c r="E1" t="s">
        <v>26</v>
      </c>
      <c r="H1" t="s">
        <v>30</v>
      </c>
      <c r="I1" t="s">
        <v>30</v>
      </c>
    </row>
    <row r="2" spans="1:9" x14ac:dyDescent="0.3">
      <c r="B2" t="s">
        <v>21</v>
      </c>
      <c r="I2" t="s">
        <v>31</v>
      </c>
    </row>
    <row r="3" spans="1:9" x14ac:dyDescent="0.3">
      <c r="A3">
        <f>LEN(A1)</f>
        <v>9</v>
      </c>
      <c r="B3" t="s">
        <v>22</v>
      </c>
      <c r="D3" t="s">
        <v>27</v>
      </c>
      <c r="E3">
        <f>(LEN(E1)-LEN(SUBSTITUTE(E1,"dog","")))/LEN(D3)</f>
        <v>2</v>
      </c>
      <c r="H3">
        <f>LEN(H1)</f>
        <v>6</v>
      </c>
    </row>
    <row r="4" spans="1:9" x14ac:dyDescent="0.3">
      <c r="B4" t="s">
        <v>23</v>
      </c>
      <c r="H4">
        <f>LEN(H1)-LEN(SUBSTITUTE(H1,"a",""))</f>
        <v>2</v>
      </c>
    </row>
    <row r="5" spans="1:9" x14ac:dyDescent="0.3">
      <c r="B5" t="s">
        <v>24</v>
      </c>
      <c r="E5" t="s">
        <v>28</v>
      </c>
      <c r="H5">
        <f>LEN(H1)-LEN(SUBSTITUTE(LOWER(H1),"a",""))</f>
        <v>3</v>
      </c>
      <c r="I5">
        <f t="array" ref="I5">SUM(LEN(I1:I2)-LEN(SUBSTITUTE(LOWER(I1:I2),"a","")))</f>
        <v>5</v>
      </c>
    </row>
    <row r="6" spans="1:9" x14ac:dyDescent="0.3">
      <c r="B6" t="s">
        <v>25</v>
      </c>
      <c r="E6" t="s">
        <v>29</v>
      </c>
    </row>
    <row r="8" spans="1:9" x14ac:dyDescent="0.3">
      <c r="A8">
        <f>LEN(A1)-LEN(SUBSTITUTE(A1,"a",""))</f>
        <v>1</v>
      </c>
      <c r="B8">
        <f>SUM(LEN(B1)+LEN(B2)+LEN(B3)+LEN(B4)+LEN(B5)+LEN(B6))</f>
        <v>27</v>
      </c>
      <c r="D8" t="s">
        <v>27</v>
      </c>
      <c r="E8">
        <f t="array" ref="E8">(SUM(LEN(E5:E6)-LEN(SUBSTITUTE(E5:E6,"dog",""))))/LEN(D8)</f>
        <v>3</v>
      </c>
    </row>
    <row r="9" spans="1:9" x14ac:dyDescent="0.3">
      <c r="B9">
        <f t="array" ref="B9">SUM(LEN(B1:B6))</f>
        <v>27</v>
      </c>
    </row>
    <row r="11" spans="1:9" x14ac:dyDescent="0.3">
      <c r="B11">
        <f t="array" ref="B11">SUM(LEN(B1:B6)-LEN(SUBSTITUTE(B1:B6,"a","")))</f>
        <v>3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CD02E-15AB-4E81-8984-B6C5FFA82DA8}">
  <dimension ref="A1:O12"/>
  <sheetViews>
    <sheetView workbookViewId="0">
      <selection activeCell="O16" sqref="O16"/>
    </sheetView>
  </sheetViews>
  <sheetFormatPr defaultRowHeight="14.4" x14ac:dyDescent="0.3"/>
  <sheetData>
    <row r="1" spans="1:15" x14ac:dyDescent="0.3">
      <c r="A1">
        <v>100</v>
      </c>
      <c r="B1">
        <v>100</v>
      </c>
      <c r="C1" t="b">
        <f>B1&lt;&gt;A1</f>
        <v>0</v>
      </c>
      <c r="E1" t="s">
        <v>20</v>
      </c>
      <c r="F1" t="s">
        <v>21</v>
      </c>
      <c r="G1" t="s">
        <v>32</v>
      </c>
      <c r="I1" t="s">
        <v>3</v>
      </c>
      <c r="J1" t="s">
        <v>0</v>
      </c>
      <c r="K1">
        <v>10</v>
      </c>
      <c r="M1" t="s">
        <v>34</v>
      </c>
      <c r="N1" t="s">
        <v>35</v>
      </c>
      <c r="O1" t="s">
        <v>39</v>
      </c>
    </row>
    <row r="2" spans="1:15" x14ac:dyDescent="0.3">
      <c r="A2" t="s">
        <v>0</v>
      </c>
      <c r="B2" t="s">
        <v>2</v>
      </c>
      <c r="C2" t="b">
        <f>A2&lt;&gt;B2</f>
        <v>1</v>
      </c>
      <c r="E2">
        <v>100</v>
      </c>
      <c r="F2">
        <v>120</v>
      </c>
      <c r="G2">
        <f>IF(F2&lt;&gt;"",F2-E2,"")</f>
        <v>20</v>
      </c>
      <c r="I2" t="s">
        <v>0</v>
      </c>
      <c r="K2">
        <v>20</v>
      </c>
      <c r="M2" t="s">
        <v>36</v>
      </c>
      <c r="N2" t="b">
        <f>OR(M2="usa",M2="uk")</f>
        <v>1</v>
      </c>
      <c r="O2" t="b">
        <f>NOT(OR(M2="usa",M2="uk"))</f>
        <v>0</v>
      </c>
    </row>
    <row r="3" spans="1:15" x14ac:dyDescent="0.3">
      <c r="A3" t="s">
        <v>0</v>
      </c>
      <c r="B3" t="s">
        <v>0</v>
      </c>
      <c r="C3" t="b">
        <f>A3&lt;&gt;B3</f>
        <v>0</v>
      </c>
      <c r="E3">
        <v>100</v>
      </c>
      <c r="G3" t="str">
        <f t="shared" ref="G3:G4" si="0">IF(F3&lt;&gt;"",F3-E3,"")</f>
        <v/>
      </c>
      <c r="I3" t="s">
        <v>2</v>
      </c>
      <c r="K3">
        <v>0</v>
      </c>
      <c r="M3" t="s">
        <v>37</v>
      </c>
      <c r="N3" t="b">
        <f t="shared" ref="N3:N8" si="1">OR(M3="usa",M3="uk")</f>
        <v>0</v>
      </c>
      <c r="O3" t="b">
        <f t="shared" ref="O3:O8" si="2">NOT(OR(M3="usa",M3="uk"))</f>
        <v>1</v>
      </c>
    </row>
    <row r="4" spans="1:15" x14ac:dyDescent="0.3">
      <c r="A4">
        <v>100</v>
      </c>
      <c r="B4">
        <v>120</v>
      </c>
      <c r="C4" t="b">
        <f>A4&lt;&gt;B4</f>
        <v>1</v>
      </c>
      <c r="E4">
        <v>100</v>
      </c>
      <c r="F4">
        <v>150</v>
      </c>
      <c r="G4">
        <f t="shared" si="0"/>
        <v>50</v>
      </c>
      <c r="I4" t="s">
        <v>0</v>
      </c>
      <c r="K4">
        <v>0</v>
      </c>
      <c r="M4" t="s">
        <v>38</v>
      </c>
      <c r="N4" t="b">
        <f t="shared" si="1"/>
        <v>1</v>
      </c>
      <c r="O4" t="b">
        <f t="shared" si="2"/>
        <v>0</v>
      </c>
    </row>
    <row r="5" spans="1:15" x14ac:dyDescent="0.3">
      <c r="I5" t="s">
        <v>1</v>
      </c>
      <c r="K5">
        <v>20</v>
      </c>
      <c r="M5" t="s">
        <v>17</v>
      </c>
      <c r="N5" t="b">
        <f t="shared" si="1"/>
        <v>0</v>
      </c>
      <c r="O5" t="b">
        <f t="shared" si="2"/>
        <v>1</v>
      </c>
    </row>
    <row r="6" spans="1:15" x14ac:dyDescent="0.3">
      <c r="I6" t="s">
        <v>33</v>
      </c>
      <c r="K6">
        <v>30</v>
      </c>
      <c r="M6" t="s">
        <v>38</v>
      </c>
      <c r="N6" t="b">
        <f t="shared" si="1"/>
        <v>1</v>
      </c>
      <c r="O6" t="b">
        <f t="shared" si="2"/>
        <v>0</v>
      </c>
    </row>
    <row r="7" spans="1:15" x14ac:dyDescent="0.3">
      <c r="I7" t="s">
        <v>0</v>
      </c>
      <c r="M7" t="s">
        <v>18</v>
      </c>
      <c r="N7" t="b">
        <f t="shared" si="1"/>
        <v>0</v>
      </c>
      <c r="O7" t="b">
        <f t="shared" si="2"/>
        <v>1</v>
      </c>
    </row>
    <row r="8" spans="1:15" x14ac:dyDescent="0.3">
      <c r="K8">
        <f>AVERAGEIF(K1:K6,"&lt;&gt;0")</f>
        <v>20</v>
      </c>
      <c r="M8" t="s">
        <v>36</v>
      </c>
      <c r="N8" t="b">
        <f t="shared" si="1"/>
        <v>1</v>
      </c>
      <c r="O8" t="b">
        <f t="shared" si="2"/>
        <v>0</v>
      </c>
    </row>
    <row r="10" spans="1:15" x14ac:dyDescent="0.3">
      <c r="I10">
        <f>COUNTIF(I1:I7,"&lt;&gt;red")</f>
        <v>4</v>
      </c>
    </row>
    <row r="11" spans="1:15" x14ac:dyDescent="0.3">
      <c r="I11">
        <f>COUNTIF(I1:I7,"&lt;&gt;"&amp;J1)</f>
        <v>4</v>
      </c>
    </row>
    <row r="12" spans="1:15" x14ac:dyDescent="0.3">
      <c r="I12">
        <f>COUNTIFS(I1:I7,"&lt;&gt;"&amp;J1,I1:I7,"&lt;&gt;blue")</f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6B3F1-B324-4F2A-BA96-F7140496A2CA}">
  <dimension ref="A1:I21"/>
  <sheetViews>
    <sheetView workbookViewId="0">
      <selection activeCell="A22" sqref="A22"/>
    </sheetView>
  </sheetViews>
  <sheetFormatPr defaultRowHeight="14.4" x14ac:dyDescent="0.3"/>
  <sheetData>
    <row r="1" spans="1:8" x14ac:dyDescent="0.3">
      <c r="A1">
        <v>100</v>
      </c>
      <c r="C1" t="s">
        <v>0</v>
      </c>
    </row>
    <row r="2" spans="1:8" x14ac:dyDescent="0.3">
      <c r="A2" t="s">
        <v>20</v>
      </c>
      <c r="C2" t="s">
        <v>47</v>
      </c>
    </row>
    <row r="3" spans="1:8" x14ac:dyDescent="0.3">
      <c r="A3" t="b">
        <v>1</v>
      </c>
      <c r="C3" t="s">
        <v>2</v>
      </c>
    </row>
    <row r="4" spans="1:8" x14ac:dyDescent="0.3">
      <c r="A4" t="s">
        <v>40</v>
      </c>
    </row>
    <row r="5" spans="1:8" x14ac:dyDescent="0.3">
      <c r="A5">
        <v>50</v>
      </c>
    </row>
    <row r="6" spans="1:8" x14ac:dyDescent="0.3">
      <c r="A6" t="s">
        <v>41</v>
      </c>
    </row>
    <row r="7" spans="1:8" x14ac:dyDescent="0.3">
      <c r="A7" t="s">
        <v>21</v>
      </c>
    </row>
    <row r="8" spans="1:8" x14ac:dyDescent="0.3">
      <c r="A8" t="s">
        <v>42</v>
      </c>
    </row>
    <row r="10" spans="1:8" x14ac:dyDescent="0.3">
      <c r="A10">
        <f>COUNTIF(A1:A9,"*")</f>
        <v>5</v>
      </c>
    </row>
    <row r="11" spans="1:8" x14ac:dyDescent="0.3">
      <c r="A11">
        <f t="array" ref="A11">SUM(IF(ISTEXT(A1:A9),1,0))</f>
        <v>5</v>
      </c>
    </row>
    <row r="12" spans="1:8" x14ac:dyDescent="0.3">
      <c r="A12" s="3" t="s">
        <v>43</v>
      </c>
      <c r="B12" s="3"/>
      <c r="C12" s="3"/>
      <c r="D12" s="3"/>
      <c r="E12" s="3"/>
      <c r="F12" s="3"/>
      <c r="G12" s="3"/>
      <c r="H12" s="3"/>
    </row>
    <row r="13" spans="1:8" x14ac:dyDescent="0.3">
      <c r="A13" cm="1">
        <f t="array" ref="A13">SUMPRODUCT(--ISTEXT(A1:A9))</f>
        <v>5</v>
      </c>
    </row>
    <row r="14" spans="1:8" x14ac:dyDescent="0.3">
      <c r="A14" s="3" t="s">
        <v>44</v>
      </c>
      <c r="B14" s="3"/>
      <c r="C14" s="3"/>
      <c r="D14" s="3"/>
      <c r="E14" s="3"/>
      <c r="F14" s="3"/>
      <c r="G14" s="3"/>
      <c r="H14" s="3"/>
    </row>
    <row r="15" spans="1:8" x14ac:dyDescent="0.3">
      <c r="A15" cm="1">
        <f t="array" ref="A15">SUMPRODUCT(--ISTEXT(A1:A9))+SUMPRODUCT(--ISLOGICAL(A1:A9))</f>
        <v>6</v>
      </c>
    </row>
    <row r="18" spans="1:9" x14ac:dyDescent="0.3">
      <c r="A18" s="3" t="s">
        <v>45</v>
      </c>
      <c r="B18" s="3"/>
      <c r="C18" s="3"/>
      <c r="D18" s="3"/>
      <c r="E18" s="3"/>
      <c r="F18" s="3"/>
      <c r="G18" s="3"/>
      <c r="H18" s="3"/>
    </row>
    <row r="19" spans="1:9" x14ac:dyDescent="0.3">
      <c r="A19">
        <f>COUNTIF(C1:C3,"*")</f>
        <v>3</v>
      </c>
      <c r="B19" s="2"/>
      <c r="C19" s="2"/>
      <c r="D19" s="2"/>
      <c r="E19" s="2"/>
      <c r="F19" s="2"/>
      <c r="G19" s="2"/>
      <c r="H19" s="2"/>
    </row>
    <row r="20" spans="1:9" x14ac:dyDescent="0.3">
      <c r="A20" s="3" t="s">
        <v>46</v>
      </c>
      <c r="B20" s="3"/>
      <c r="C20" s="3"/>
      <c r="D20" s="3"/>
      <c r="E20" s="3"/>
      <c r="F20" s="3"/>
      <c r="G20" s="3"/>
      <c r="H20" s="3"/>
      <c r="I20" s="3"/>
    </row>
    <row r="21" spans="1:9" x14ac:dyDescent="0.3">
      <c r="A21">
        <f>COUNTIFS(C1:C3,"*",C1:C3,"&lt;&gt; ")</f>
        <v>2</v>
      </c>
    </row>
  </sheetData>
  <mergeCells count="4">
    <mergeCell ref="A12:H12"/>
    <mergeCell ref="A14:H14"/>
    <mergeCell ref="A18:H18"/>
    <mergeCell ref="A20:I2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0C0D5-2DE0-4F4B-B6ED-7144110C788C}">
  <dimension ref="A1:V25"/>
  <sheetViews>
    <sheetView tabSelected="1" workbookViewId="0">
      <selection activeCell="V12" sqref="V12"/>
    </sheetView>
  </sheetViews>
  <sheetFormatPr defaultRowHeight="14.4" x14ac:dyDescent="0.3"/>
  <cols>
    <col min="8" max="8" width="10.33203125" bestFit="1" customWidth="1"/>
  </cols>
  <sheetData>
    <row r="1" spans="1:22" x14ac:dyDescent="0.3">
      <c r="A1">
        <v>10</v>
      </c>
      <c r="B1">
        <v>10</v>
      </c>
      <c r="E1" t="s">
        <v>0</v>
      </c>
      <c r="F1">
        <v>10</v>
      </c>
      <c r="H1" s="4">
        <v>46042</v>
      </c>
      <c r="I1">
        <v>10</v>
      </c>
      <c r="J1">
        <v>10</v>
      </c>
      <c r="L1" t="s">
        <v>48</v>
      </c>
      <c r="M1">
        <v>100</v>
      </c>
      <c r="N1">
        <f>SUM($M$1:M1)</f>
        <v>100</v>
      </c>
      <c r="O1">
        <v>100</v>
      </c>
      <c r="Q1" t="s">
        <v>48</v>
      </c>
      <c r="R1">
        <v>100</v>
      </c>
      <c r="S1" s="5">
        <f>SUM($R$1:R1)</f>
        <v>100</v>
      </c>
      <c r="U1">
        <v>10</v>
      </c>
      <c r="V1">
        <v>1</v>
      </c>
    </row>
    <row r="2" spans="1:22" x14ac:dyDescent="0.3">
      <c r="A2">
        <v>20</v>
      </c>
      <c r="E2" t="s">
        <v>4</v>
      </c>
      <c r="F2">
        <v>50</v>
      </c>
      <c r="H2" s="4">
        <v>46043</v>
      </c>
      <c r="I2">
        <v>20</v>
      </c>
      <c r="J2" t="e" cm="1">
        <f t="array" ref="J2">hjc</f>
        <v>#NAME?</v>
      </c>
      <c r="L2" t="s">
        <v>49</v>
      </c>
      <c r="M2">
        <v>200</v>
      </c>
      <c r="N2">
        <f>SUM($M$1:M2)</f>
        <v>300</v>
      </c>
      <c r="O2">
        <f>O1+M2</f>
        <v>300</v>
      </c>
      <c r="Q2" t="s">
        <v>49</v>
      </c>
      <c r="R2">
        <v>200</v>
      </c>
      <c r="S2" s="5">
        <f>SUM($R$1:R2)</f>
        <v>300</v>
      </c>
      <c r="U2">
        <v>20</v>
      </c>
      <c r="V2">
        <v>2</v>
      </c>
    </row>
    <row r="3" spans="1:22" x14ac:dyDescent="0.3">
      <c r="A3">
        <v>30</v>
      </c>
      <c r="B3">
        <v>20</v>
      </c>
      <c r="E3" t="s">
        <v>2</v>
      </c>
      <c r="F3">
        <v>30</v>
      </c>
      <c r="H3" s="4">
        <v>46044</v>
      </c>
      <c r="I3">
        <v>30</v>
      </c>
      <c r="J3">
        <v>200</v>
      </c>
      <c r="L3" t="s">
        <v>50</v>
      </c>
      <c r="M3">
        <v>300</v>
      </c>
      <c r="N3">
        <f>SUM($M$1:M3)</f>
        <v>600</v>
      </c>
      <c r="O3">
        <f t="shared" ref="O3:O8" si="0">O2+M3</f>
        <v>600</v>
      </c>
      <c r="Q3" t="s">
        <v>50</v>
      </c>
      <c r="R3">
        <v>300</v>
      </c>
      <c r="S3" s="5">
        <f>SUM($R$1:R3)</f>
        <v>600</v>
      </c>
      <c r="U3">
        <v>30</v>
      </c>
      <c r="V3">
        <v>3</v>
      </c>
    </row>
    <row r="4" spans="1:22" x14ac:dyDescent="0.3">
      <c r="A4">
        <v>40</v>
      </c>
      <c r="E4" t="s">
        <v>1</v>
      </c>
      <c r="F4">
        <v>40</v>
      </c>
      <c r="H4" s="4">
        <v>46045</v>
      </c>
      <c r="I4">
        <v>40</v>
      </c>
      <c r="J4" t="e" cm="1">
        <f t="array" ref="J4">cbc</f>
        <v>#NAME?</v>
      </c>
      <c r="L4" t="s">
        <v>51</v>
      </c>
      <c r="M4">
        <v>400</v>
      </c>
      <c r="N4">
        <f>SUM($M$1:M4)</f>
        <v>1000</v>
      </c>
      <c r="O4">
        <f t="shared" si="0"/>
        <v>1000</v>
      </c>
      <c r="Q4" t="s">
        <v>51</v>
      </c>
      <c r="R4">
        <v>400</v>
      </c>
      <c r="S4" s="5">
        <f>SUM($R$1:R4)</f>
        <v>1000</v>
      </c>
      <c r="U4">
        <v>40</v>
      </c>
      <c r="V4">
        <v>4</v>
      </c>
    </row>
    <row r="5" spans="1:22" x14ac:dyDescent="0.3">
      <c r="A5">
        <v>50</v>
      </c>
      <c r="B5">
        <v>30</v>
      </c>
      <c r="E5" t="s">
        <v>0</v>
      </c>
      <c r="F5">
        <v>50</v>
      </c>
      <c r="H5" s="4">
        <v>46046</v>
      </c>
      <c r="I5">
        <v>50</v>
      </c>
      <c r="J5" t="e">
        <f>2/0</f>
        <v>#DIV/0!</v>
      </c>
      <c r="L5" t="s">
        <v>52</v>
      </c>
      <c r="M5">
        <v>500</v>
      </c>
      <c r="N5">
        <f>SUM($M$1:M5)</f>
        <v>1500</v>
      </c>
      <c r="O5">
        <f t="shared" si="0"/>
        <v>1500</v>
      </c>
      <c r="Q5" t="s">
        <v>52</v>
      </c>
      <c r="R5">
        <v>500</v>
      </c>
      <c r="S5" s="5">
        <f>SUM($R$1:R5)</f>
        <v>1500</v>
      </c>
      <c r="U5">
        <v>50</v>
      </c>
      <c r="V5">
        <v>5</v>
      </c>
    </row>
    <row r="6" spans="1:22" x14ac:dyDescent="0.3">
      <c r="A6">
        <v>60</v>
      </c>
      <c r="E6" t="s">
        <v>4</v>
      </c>
      <c r="F6">
        <v>60</v>
      </c>
      <c r="H6" s="4">
        <v>46047</v>
      </c>
      <c r="I6">
        <v>60</v>
      </c>
      <c r="J6">
        <v>10</v>
      </c>
      <c r="L6" t="s">
        <v>53</v>
      </c>
      <c r="N6">
        <f>SUM($M$1:M6)</f>
        <v>1500</v>
      </c>
      <c r="O6">
        <f t="shared" si="0"/>
        <v>1500</v>
      </c>
      <c r="Q6" t="s">
        <v>53</v>
      </c>
      <c r="S6" s="5">
        <f>SUM($R$1:R6)</f>
        <v>1500</v>
      </c>
      <c r="U6">
        <v>60</v>
      </c>
      <c r="V6">
        <v>6</v>
      </c>
    </row>
    <row r="7" spans="1:22" x14ac:dyDescent="0.3">
      <c r="A7">
        <v>70</v>
      </c>
      <c r="B7">
        <v>40</v>
      </c>
      <c r="E7" t="s">
        <v>1</v>
      </c>
      <c r="F7">
        <v>70</v>
      </c>
      <c r="H7" s="4">
        <v>46048</v>
      </c>
      <c r="I7">
        <v>70</v>
      </c>
      <c r="J7">
        <v>20</v>
      </c>
      <c r="L7" t="s">
        <v>54</v>
      </c>
      <c r="N7">
        <f>SUM($M$1:M7)</f>
        <v>1500</v>
      </c>
      <c r="O7">
        <f t="shared" si="0"/>
        <v>1500</v>
      </c>
      <c r="Q7" t="s">
        <v>54</v>
      </c>
      <c r="S7" s="5">
        <f>SUM($R$1:R7)</f>
        <v>1500</v>
      </c>
      <c r="U7">
        <v>70</v>
      </c>
      <c r="V7">
        <v>7</v>
      </c>
    </row>
    <row r="8" spans="1:22" x14ac:dyDescent="0.3">
      <c r="A8">
        <v>80</v>
      </c>
      <c r="E8" t="s">
        <v>2</v>
      </c>
      <c r="F8">
        <v>80</v>
      </c>
      <c r="H8" s="4">
        <v>46049</v>
      </c>
      <c r="I8">
        <v>80</v>
      </c>
      <c r="J8" t="e" cm="1">
        <f t="array" ref="J8">s</f>
        <v>#NAME?</v>
      </c>
      <c r="L8" t="s">
        <v>55</v>
      </c>
      <c r="N8">
        <f>SUM($M$1:M8)</f>
        <v>1500</v>
      </c>
      <c r="O8">
        <f t="shared" si="0"/>
        <v>1500</v>
      </c>
      <c r="Q8" t="s">
        <v>55</v>
      </c>
      <c r="S8" s="5">
        <f>SUM($R$1:R8)</f>
        <v>1500</v>
      </c>
      <c r="U8">
        <v>80</v>
      </c>
      <c r="V8">
        <v>8</v>
      </c>
    </row>
    <row r="9" spans="1:22" x14ac:dyDescent="0.3">
      <c r="A9">
        <v>90</v>
      </c>
      <c r="B9">
        <v>50</v>
      </c>
      <c r="Q9" s="5" t="s">
        <v>59</v>
      </c>
      <c r="R9" s="5">
        <f>SUM($R$1:R8)</f>
        <v>1500</v>
      </c>
    </row>
    <row r="10" spans="1:22" x14ac:dyDescent="0.3">
      <c r="A10">
        <v>100</v>
      </c>
      <c r="N10" t="s">
        <v>56</v>
      </c>
      <c r="O10" t="s">
        <v>56</v>
      </c>
    </row>
    <row r="11" spans="1:22" x14ac:dyDescent="0.3">
      <c r="F11">
        <f>SUMIF(E1:E8,"=red",F1:F8)</f>
        <v>60</v>
      </c>
      <c r="I11">
        <f ca="1">SUMIF(H1:H8,TODAY(),I1:I8)</f>
        <v>60</v>
      </c>
      <c r="J11" cm="1">
        <f t="array" ref="J11">SUM(IF(ISERROR(J1:J8),0,J1:J8))</f>
        <v>240</v>
      </c>
      <c r="V11">
        <f>SUMPRODUCT(U1:U8,V1:V8)</f>
        <v>2040</v>
      </c>
    </row>
    <row r="12" spans="1:22" x14ac:dyDescent="0.3">
      <c r="A12">
        <f>SUM(A1:A10)</f>
        <v>550</v>
      </c>
      <c r="C12">
        <f>SUM(B:B)</f>
        <v>150</v>
      </c>
    </row>
    <row r="13" spans="1:22" x14ac:dyDescent="0.3">
      <c r="C13">
        <f>SUM(1:1)</f>
        <v>46603</v>
      </c>
    </row>
    <row r="14" spans="1:22" x14ac:dyDescent="0.3">
      <c r="C14">
        <f>SUM(A1,A3,A6,A8,A10)</f>
        <v>280</v>
      </c>
    </row>
    <row r="15" spans="1:22" x14ac:dyDescent="0.3">
      <c r="A15" cm="1">
        <f t="array" ref="A15">SUM(A1:A10*(MOD(ROW(A1:A10),4)=0))</f>
        <v>120</v>
      </c>
      <c r="C15">
        <f>SUM(A:A,B:B)</f>
        <v>2560</v>
      </c>
      <c r="D15">
        <f>SUM(A1:C15)</f>
        <v>50963</v>
      </c>
      <c r="H15">
        <f>SUMIFS(I1:I8,H1:H8,"&gt;="&amp;DATE(2026,1,22),H1:H8,"&lt;="&amp;DATE(2026,1,26))</f>
        <v>250</v>
      </c>
    </row>
    <row r="18" spans="1:3" x14ac:dyDescent="0.3">
      <c r="A18" cm="1">
        <f t="array" ref="A18">SUM(LARGE(A1:A10,{1,2,3,4,5}))</f>
        <v>400</v>
      </c>
    </row>
    <row r="20" spans="1:3" x14ac:dyDescent="0.3">
      <c r="A20" cm="1">
        <f t="array" ref="A20">SUM(SMALL(A1:A10,{1,2,3,4,5}))</f>
        <v>150</v>
      </c>
    </row>
    <row r="23" spans="1:3" x14ac:dyDescent="0.3">
      <c r="A23">
        <f>SUMIF(A1:A10,"&lt;50")</f>
        <v>100</v>
      </c>
    </row>
    <row r="25" spans="1:3" x14ac:dyDescent="0.3">
      <c r="A25">
        <f>SUMIF(A1:A10,"&lt;&gt;"&amp;B1)</f>
        <v>540</v>
      </c>
      <c r="C25">
        <f ca="1">SUMIF(A1:A10,20,F1:F8)</f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Count and Sum Functions</vt:lpstr>
      <vt:lpstr>CountIf</vt:lpstr>
      <vt:lpstr>BlankandNonBlank</vt:lpstr>
      <vt:lpstr>CountCharacters</vt:lpstr>
      <vt:lpstr>NotEqualTo</vt:lpstr>
      <vt:lpstr>CountIfText</vt:lpstr>
      <vt:lpstr>Sum</vt:lpstr>
      <vt:lpstr>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</dc:creator>
  <cp:lastModifiedBy>govindparab09@outlook.com</cp:lastModifiedBy>
  <dcterms:created xsi:type="dcterms:W3CDTF">2015-06-05T18:17:20Z</dcterms:created>
  <dcterms:modified xsi:type="dcterms:W3CDTF">2026-01-25T13:02:19Z</dcterms:modified>
</cp:coreProperties>
</file>