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Lookup and Reference/"/>
    </mc:Choice>
  </mc:AlternateContent>
  <xr:revisionPtr revIDLastSave="986" documentId="11_F25DC773A252ABDACC1048C9A1DF6BC05ADE58E5" xr6:coauthVersionLast="47" xr6:coauthVersionMax="47" xr10:uidLastSave="{E8029EE0-034D-446A-8D04-3121E6E0BF10}"/>
  <bookViews>
    <workbookView xWindow="-108" yWindow="-108" windowWidth="23256" windowHeight="12456" xr2:uid="{00000000-000D-0000-FFFF-FFFF00000000}"/>
  </bookViews>
  <sheets>
    <sheet name="Lookup&amp;Reference" sheetId="1" r:id="rId1"/>
    <sheet name="vlookup" sheetId="2" r:id="rId2"/>
    <sheet name="xlookup" sheetId="3" r:id="rId3"/>
    <sheet name="Index&amp;Match" sheetId="4" r:id="rId4"/>
    <sheet name="TwoWayLookup" sheetId="5" r:id="rId5"/>
    <sheet name="Indirect&amp;Address" sheetId="6" r:id="rId6"/>
    <sheet name="CaseSensitiveLookup" sheetId="7" r:id="rId7"/>
    <sheet name="Xmatch" sheetId="8" r:id="rId8"/>
    <sheet name="CompareTwoColumns" sheetId="9" r:id="rId9"/>
    <sheet name="Sheet2" sheetId="11" r:id="rId10"/>
  </sheets>
  <definedNames>
    <definedName name="apr">TwoWayLookup!$G$5:$I$5</definedName>
    <definedName name="aug">TwoWayLookup!$G$9:$I$9</definedName>
    <definedName name="chocolate">TwoWayLookup!$H$2:$H$13</definedName>
    <definedName name="dec">TwoWayLookup!$G$13:$I$13</definedName>
    <definedName name="feb">TwoWayLookup!$G$3:$I$3</definedName>
    <definedName name="jan">TwoWayLookup!$G$2:$I$2</definedName>
    <definedName name="jul">TwoWayLookup!$G$8:$I$8</definedName>
    <definedName name="jun">TwoWayLookup!$G$7:$I$7</definedName>
    <definedName name="mar">TwoWayLookup!$G$4:$I$4</definedName>
    <definedName name="may">TwoWayLookup!$G$6:$I$6</definedName>
    <definedName name="month">TwoWayLookup!$G$2:$I$13</definedName>
    <definedName name="nov">TwoWayLookup!$G$12:$I$12</definedName>
    <definedName name="oct">TwoWayLookup!$G$11:$I$11</definedName>
    <definedName name="One">CompareTwoColumns!$D$1:$D$6</definedName>
    <definedName name="scores">'Indirect&amp;Address'!$G$1:$G$10</definedName>
    <definedName name="sep">TwoWayLookup!$G$10:$I$10</definedName>
    <definedName name="strawberry">TwoWayLookup!$I$2:$I$13</definedName>
    <definedName name="Two">CompareTwoColumns!$E$1:$E$6</definedName>
    <definedName name="vanilla">TwoWayLookup!$G$2:$G$13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1" l="1"/>
  <c r="A19" i="11"/>
  <c r="A18" i="11"/>
  <c r="A17" i="11"/>
  <c r="A16" i="11" a="1"/>
  <c r="A16" i="11" s="1"/>
  <c r="A15" i="11"/>
  <c r="O2" i="9"/>
  <c r="O3" i="9"/>
  <c r="O4" i="9"/>
  <c r="O5" i="9"/>
  <c r="O6" i="9"/>
  <c r="O1" i="9"/>
  <c r="N2" i="9"/>
  <c r="N3" i="9"/>
  <c r="N4" i="9"/>
  <c r="N5" i="9"/>
  <c r="N6" i="9"/>
  <c r="N1" i="9"/>
  <c r="J2" i="9"/>
  <c r="J3" i="9"/>
  <c r="J4" i="9"/>
  <c r="J5" i="9"/>
  <c r="J6" i="9"/>
  <c r="J1" i="9"/>
  <c r="I2" i="9"/>
  <c r="I3" i="9"/>
  <c r="I4" i="9"/>
  <c r="I5" i="9"/>
  <c r="I6" i="9"/>
  <c r="I1" i="9"/>
  <c r="K10" i="8" a="1"/>
  <c r="K10" i="8" s="1"/>
  <c r="H5" i="8"/>
  <c r="H2" i="8"/>
  <c r="B5" i="8"/>
  <c r="E4" i="8"/>
  <c r="E3" i="8"/>
  <c r="E2" i="8"/>
  <c r="B2" i="8"/>
  <c r="D12" i="7" a="1"/>
  <c r="D12" i="7" s="1"/>
  <c r="D11" i="7" a="1"/>
  <c r="D11" i="7" s="1"/>
  <c r="D10" i="7" a="1"/>
  <c r="D10" i="7" s="1"/>
  <c r="B12" i="7" a="1"/>
  <c r="B12" i="7" s="1"/>
  <c r="B11" i="7" a="1"/>
  <c r="B11" i="7" s="1"/>
  <c r="B10" i="7" a="1"/>
  <c r="B10" i="7"/>
  <c r="R3" i="6"/>
  <c r="R2" i="6"/>
  <c r="R1" i="6"/>
  <c r="K1" i="6"/>
  <c r="I2" i="6"/>
  <c r="I18" i="5" a="1"/>
  <c r="I18" i="5" s="1"/>
  <c r="I17" i="5" a="1"/>
  <c r="I17" i="5" s="1"/>
  <c r="I16" i="5" a="1"/>
  <c r="I16" i="5" s="1"/>
  <c r="I15" i="5" a="1"/>
  <c r="I15" i="5" s="1"/>
  <c r="G18" i="5" a="1"/>
  <c r="G18" i="5" s="1"/>
  <c r="G17" i="5" a="1"/>
  <c r="G17" i="5" s="1"/>
  <c r="G16" i="5" a="1"/>
  <c r="G16" i="5" s="1"/>
  <c r="G15" i="5" a="1"/>
  <c r="G15" i="5" s="1"/>
  <c r="D16" i="5" a="1"/>
  <c r="D16" i="5" s="1"/>
  <c r="B18" i="5"/>
  <c r="Q12" i="4" a="1"/>
  <c r="Q12" i="4" s="1"/>
  <c r="O10" i="4" a="1"/>
  <c r="O10" i="4" s="1"/>
  <c r="D12" i="4" a="1"/>
  <c r="D12" i="4" s="1"/>
  <c r="G18" i="4"/>
  <c r="G19" i="4"/>
  <c r="G20" i="4"/>
  <c r="G21" i="4"/>
  <c r="G22" i="4"/>
  <c r="G23" i="4"/>
  <c r="G24" i="4"/>
  <c r="G25" i="4"/>
  <c r="G26" i="4"/>
  <c r="G17" i="4"/>
  <c r="F18" i="4"/>
  <c r="F19" i="4"/>
  <c r="F20" i="4"/>
  <c r="F21" i="4"/>
  <c r="F22" i="4"/>
  <c r="F23" i="4"/>
  <c r="F24" i="4"/>
  <c r="F25" i="4"/>
  <c r="F26" i="4"/>
  <c r="F17" i="4"/>
  <c r="O12" i="4" a="1"/>
  <c r="O12" i="4" s="1"/>
  <c r="O11" i="4" a="1"/>
  <c r="O11" i="4" s="1"/>
  <c r="L7" i="4" a="1"/>
  <c r="L7" i="4"/>
  <c r="L3" i="4"/>
  <c r="B22" i="3"/>
  <c r="B12" i="4"/>
  <c r="B11" i="4"/>
  <c r="B10" i="4"/>
  <c r="B24" i="3"/>
  <c r="B23" i="3"/>
  <c r="Q7" i="3" a="1"/>
  <c r="Q7" i="3" s="1"/>
  <c r="L10" i="3" a="1"/>
  <c r="L10" i="3" s="1"/>
  <c r="I10" i="3"/>
  <c r="G10" i="3"/>
  <c r="D11" i="3"/>
  <c r="D10" i="3"/>
  <c r="B10" i="3"/>
  <c r="B12" i="3"/>
  <c r="B11" i="3"/>
  <c r="C26" i="2"/>
  <c r="C27" i="2"/>
  <c r="C25" i="2"/>
  <c r="U21" i="2"/>
  <c r="P21" i="2"/>
  <c r="C16" i="2"/>
  <c r="C17" i="2"/>
  <c r="C18" i="2"/>
  <c r="C19" i="2"/>
  <c r="C20" i="2"/>
  <c r="C21" i="2"/>
  <c r="C15" i="2"/>
  <c r="Q12" i="2" a="1"/>
  <c r="Q12" i="2" s="1"/>
  <c r="N12" i="2"/>
  <c r="N11" i="2"/>
  <c r="N10" i="2"/>
  <c r="L12" i="2"/>
  <c r="L11" i="2"/>
  <c r="L10" i="2"/>
  <c r="G11" i="2"/>
  <c r="G12" i="2"/>
  <c r="G10" i="2"/>
  <c r="B12" i="2"/>
  <c r="B11" i="2"/>
  <c r="B10" i="2"/>
  <c r="G10" i="1"/>
  <c r="V7" i="1" a="1"/>
  <c r="V7" i="1" s="1"/>
  <c r="S7" i="1" a="1"/>
  <c r="S7" i="1" s="1"/>
  <c r="Q8" i="1"/>
  <c r="F1" i="1" a="1"/>
  <c r="F1" i="1" s="1"/>
  <c r="F6" i="1" s="1"/>
  <c r="A2" i="1" a="1"/>
  <c r="A2" i="1" s="1"/>
  <c r="B14" i="1" s="1"/>
  <c r="I3" i="6"/>
  <c r="E1" i="6"/>
  <c r="A7" i="6" a="1"/>
  <c r="A3" i="6" a="1"/>
  <c r="A1" i="6" a="1"/>
  <c r="L18" i="5" a="1"/>
  <c r="L17" i="5" a="1"/>
  <c r="I4" i="6"/>
  <c r="A5" i="6" a="1"/>
  <c r="K3" i="6" a="1"/>
  <c r="K3" i="6" l="1"/>
  <c r="A7" i="6"/>
  <c r="A5" i="6"/>
  <c r="A3" i="6"/>
  <c r="A1" i="6"/>
  <c r="L18" i="5"/>
  <c r="L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<sst xmlns="http://schemas.openxmlformats.org/spreadsheetml/2006/main" count="598" uniqueCount="118">
  <si>
    <t>Name</t>
  </si>
  <si>
    <t>Marks</t>
  </si>
  <si>
    <t>Govind</t>
  </si>
  <si>
    <t>Ruchi</t>
  </si>
  <si>
    <t>Minal</t>
  </si>
  <si>
    <t>Yash</t>
  </si>
  <si>
    <t>Nidhi</t>
  </si>
  <si>
    <t>Aditi</t>
  </si>
  <si>
    <t>Madhura</t>
  </si>
  <si>
    <t>Pratik</t>
  </si>
  <si>
    <t>Samiksha</t>
  </si>
  <si>
    <t>Sakshi</t>
  </si>
  <si>
    <t>roll number</t>
  </si>
  <si>
    <t>marks</t>
  </si>
  <si>
    <t>RollNo</t>
  </si>
  <si>
    <t>Mango</t>
  </si>
  <si>
    <t>Orange</t>
  </si>
  <si>
    <t>Grapes</t>
  </si>
  <si>
    <t>Apple</t>
  </si>
  <si>
    <t>Jackfruit</t>
  </si>
  <si>
    <t>Coconut</t>
  </si>
  <si>
    <t>coconut</t>
  </si>
  <si>
    <t>monthNumber</t>
  </si>
  <si>
    <t>Month</t>
  </si>
  <si>
    <t>id</t>
  </si>
  <si>
    <t>fname</t>
  </si>
  <si>
    <t>lname</t>
  </si>
  <si>
    <t>sal</t>
  </si>
  <si>
    <t>smith</t>
  </si>
  <si>
    <t>jhon</t>
  </si>
  <si>
    <t>clark</t>
  </si>
  <si>
    <t>bark</t>
  </si>
  <si>
    <t>king</t>
  </si>
  <si>
    <t>neil</t>
  </si>
  <si>
    <t>parab</t>
  </si>
  <si>
    <t>rane</t>
  </si>
  <si>
    <t>gawas</t>
  </si>
  <si>
    <t>ghag</t>
  </si>
  <si>
    <t>wagh</t>
  </si>
  <si>
    <t>pawar</t>
  </si>
  <si>
    <t>sawal</t>
  </si>
  <si>
    <t>name</t>
  </si>
  <si>
    <t>jh</t>
  </si>
  <si>
    <t>sawant</t>
  </si>
  <si>
    <t>market</t>
  </si>
  <si>
    <t>sales</t>
  </si>
  <si>
    <t>bonus</t>
  </si>
  <si>
    <t>uk</t>
  </si>
  <si>
    <t>us</t>
  </si>
  <si>
    <t>us market</t>
  </si>
  <si>
    <t>uk market</t>
  </si>
  <si>
    <t>city</t>
  </si>
  <si>
    <t>country</t>
  </si>
  <si>
    <t>code</t>
  </si>
  <si>
    <t>india</t>
  </si>
  <si>
    <t>ind</t>
  </si>
  <si>
    <t>united states</t>
  </si>
  <si>
    <t>usa</t>
  </si>
  <si>
    <t>united kingdom</t>
  </si>
  <si>
    <t>mumbai</t>
  </si>
  <si>
    <t>california</t>
  </si>
  <si>
    <t>england</t>
  </si>
  <si>
    <t>CLARK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</si>
  <si>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</si>
  <si>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</si>
  <si>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</si>
  <si>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</si>
  <si>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</si>
  <si>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</si>
  <si>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</si>
  <si>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</si>
  <si>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</si>
  <si>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</si>
  <si>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</si>
  <si>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</si>
  <si>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</si>
  <si>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chocolate</t>
  </si>
  <si>
    <t>vanilla</t>
  </si>
  <si>
    <t>strawberry</t>
  </si>
  <si>
    <t>flavour</t>
  </si>
  <si>
    <t>sale</t>
  </si>
  <si>
    <t>product</t>
  </si>
  <si>
    <t>brand</t>
  </si>
  <si>
    <t>Laptop</t>
  </si>
  <si>
    <t>Printer</t>
  </si>
  <si>
    <t>Mouse</t>
  </si>
  <si>
    <t>Keyboard</t>
  </si>
  <si>
    <t>Dell</t>
  </si>
  <si>
    <t>HP</t>
  </si>
  <si>
    <t>Lenovo</t>
  </si>
  <si>
    <t>Acer</t>
  </si>
  <si>
    <t>B1</t>
  </si>
  <si>
    <t>B</t>
  </si>
  <si>
    <t>scores</t>
  </si>
  <si>
    <t>vlookup</t>
  </si>
  <si>
    <t>A</t>
  </si>
  <si>
    <t>max</t>
  </si>
  <si>
    <t>position</t>
  </si>
  <si>
    <t>address</t>
  </si>
  <si>
    <t>Clark</t>
  </si>
  <si>
    <t>Fruits</t>
  </si>
  <si>
    <t>Cherry</t>
  </si>
  <si>
    <t>Guava</t>
  </si>
  <si>
    <t>Scores</t>
  </si>
  <si>
    <t>Ora*</t>
  </si>
  <si>
    <t>Qty</t>
  </si>
  <si>
    <t>fruit</t>
  </si>
  <si>
    <t>qty</t>
  </si>
  <si>
    <t>C</t>
  </si>
  <si>
    <t>a</t>
  </si>
  <si>
    <t>b</t>
  </si>
  <si>
    <t>c</t>
  </si>
  <si>
    <t>AA</t>
  </si>
  <si>
    <t>s</t>
  </si>
  <si>
    <t>f</t>
  </si>
  <si>
    <t>v</t>
  </si>
  <si>
    <t>dd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</si>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</sst>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4" borderId="1" xfId="0" applyFill="1" applyBorder="1"/>
    <xf numFmtId="0" fontId="0" fillId="13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1" xfId="0" applyFill="1" applyBorder="1"/>
    <xf numFmtId="0" fontId="0" fillId="15" borderId="1" xfId="0" applyFill="1" applyBorder="1"/>
    <xf numFmtId="0" fontId="0" fillId="20" borderId="1" xfId="0" applyFill="1" applyBorder="1"/>
    <xf numFmtId="0" fontId="0" fillId="19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17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0" borderId="1" xfId="0" applyBorder="1"/>
    <xf numFmtId="0" fontId="0" fillId="27" borderId="1" xfId="0" applyFill="1" applyBorder="1"/>
  </cellXfs>
  <cellStyles count="1">
    <cellStyle name="Normal" xfId="0" builtinId="0"/>
  </cellStyles>
  <dxfs count="12">
    <dxf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3A61B-907F-4451-AA2D-B14FA7B80BC0}" name="Table1" displayName="Table1" ref="A24:C27" totalsRowShown="0" headerRowDxfId="11" dataDxfId="10">
  <autoFilter ref="A24:C27" xr:uid="{1743A61B-907F-4451-AA2D-B14FA7B80BC0}"/>
  <tableColumns count="3">
    <tableColumn id="1" xr3:uid="{67A7BEEA-EE99-4EB7-AB04-A2025C924B0B}" name="city" dataDxfId="9"/>
    <tableColumn id="2" xr3:uid="{E8DBA3FC-845B-43EC-987F-CFA88BF9E020}" name="country" dataDxfId="8"/>
    <tableColumn id="3" xr3:uid="{EA645445-30E3-450E-AEF2-9A73EA49D5C2}" name="code" dataDxfId="7">
      <calculatedColumnFormula>VLOOKUP(Table1[[#This Row],[country]],Table2[#All],2,FALSE)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BAE40-04C4-446F-B6D5-5546EEDE193F}" name="Table2" displayName="Table2" ref="E24:F27" totalsRowShown="0" headerRowDxfId="6" dataDxfId="5">
  <autoFilter ref="E24:F27" xr:uid="{8ECBAE40-04C4-446F-B6D5-5546EEDE193F}"/>
  <tableColumns count="2">
    <tableColumn id="1" xr3:uid="{52CDCC75-8358-4F4B-B93A-5C85E44A7C4B}" name="country" dataDxfId="4"/>
    <tableColumn id="2" xr3:uid="{795320EA-5AA7-416A-AB16-053C3E6C54CB}" name="co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J19" sqref="J19"/>
    </sheetView>
  </sheetViews>
  <sheetFormatPr defaultRowHeight="14.4" x14ac:dyDescent="0.3"/>
  <sheetData>
    <row r="1" spans="1:22" x14ac:dyDescent="0.3">
      <c r="A1" s="1" t="s">
        <v>14</v>
      </c>
      <c r="B1" s="1" t="s">
        <v>0</v>
      </c>
      <c r="C1" s="1" t="s">
        <v>1</v>
      </c>
      <c r="E1" s="2" t="s">
        <v>14</v>
      </c>
      <c r="F1" s="2" cm="1">
        <f t="array" ref="F1:O1">_xlfn.SEQUENCE(1,10)</f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Q1" s="3" t="s">
        <v>15</v>
      </c>
      <c r="S1" s="4">
        <v>10</v>
      </c>
      <c r="U1" s="5">
        <v>10</v>
      </c>
      <c r="V1" s="5">
        <v>20</v>
      </c>
    </row>
    <row r="2" spans="1:22" x14ac:dyDescent="0.3">
      <c r="A2" s="1" cm="1">
        <f t="array" ref="A2:A11">_xlfn.SEQUENCE(10,1)</f>
        <v>1</v>
      </c>
      <c r="B2" s="1" t="s">
        <v>2</v>
      </c>
      <c r="C2" s="1">
        <v>90</v>
      </c>
      <c r="E2" s="2" t="s">
        <v>0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Q2" s="3" t="s">
        <v>16</v>
      </c>
      <c r="S2" s="4">
        <v>20</v>
      </c>
      <c r="U2" s="5">
        <v>20</v>
      </c>
      <c r="V2" s="5">
        <v>30</v>
      </c>
    </row>
    <row r="3" spans="1:22" x14ac:dyDescent="0.3">
      <c r="A3" s="1">
        <v>2</v>
      </c>
      <c r="B3" s="1" t="s">
        <v>3</v>
      </c>
      <c r="C3" s="1">
        <v>80</v>
      </c>
      <c r="E3" s="2" t="s">
        <v>1</v>
      </c>
      <c r="F3" s="2">
        <v>90</v>
      </c>
      <c r="G3" s="2">
        <v>80</v>
      </c>
      <c r="H3" s="2">
        <v>85</v>
      </c>
      <c r="I3" s="2">
        <v>80</v>
      </c>
      <c r="J3" s="2">
        <v>95</v>
      </c>
      <c r="K3" s="2">
        <v>85</v>
      </c>
      <c r="L3" s="2">
        <v>70</v>
      </c>
      <c r="M3" s="2">
        <v>75</v>
      </c>
      <c r="N3" s="2">
        <v>82</v>
      </c>
      <c r="O3" s="2">
        <v>93</v>
      </c>
      <c r="Q3" s="3" t="s">
        <v>17</v>
      </c>
      <c r="S3" s="4">
        <v>30</v>
      </c>
      <c r="U3" s="5">
        <v>30</v>
      </c>
      <c r="V3" s="5">
        <v>40</v>
      </c>
    </row>
    <row r="4" spans="1:22" x14ac:dyDescent="0.3">
      <c r="A4" s="1">
        <v>3</v>
      </c>
      <c r="B4" s="1" t="s">
        <v>4</v>
      </c>
      <c r="C4" s="1">
        <v>85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Q4" s="3" t="s">
        <v>18</v>
      </c>
      <c r="S4" s="4">
        <v>40</v>
      </c>
      <c r="U4" s="5">
        <v>40</v>
      </c>
      <c r="V4" s="5">
        <v>50</v>
      </c>
    </row>
    <row r="5" spans="1:22" x14ac:dyDescent="0.3">
      <c r="A5" s="1">
        <v>4</v>
      </c>
      <c r="B5" s="1" t="s">
        <v>5</v>
      </c>
      <c r="C5" s="1">
        <v>80</v>
      </c>
      <c r="E5" s="2" t="s">
        <v>12</v>
      </c>
      <c r="F5" s="2">
        <v>4</v>
      </c>
      <c r="G5" s="2"/>
      <c r="H5" s="2"/>
      <c r="I5" s="2"/>
      <c r="J5" s="2"/>
      <c r="K5" s="2"/>
      <c r="L5" s="2"/>
      <c r="M5" s="2"/>
      <c r="N5" s="2"/>
      <c r="O5" s="2"/>
      <c r="Q5" s="3" t="s">
        <v>19</v>
      </c>
      <c r="S5" s="4">
        <v>50</v>
      </c>
      <c r="U5" s="5">
        <v>50</v>
      </c>
      <c r="V5" s="5">
        <v>60</v>
      </c>
    </row>
    <row r="6" spans="1:22" x14ac:dyDescent="0.3">
      <c r="A6" s="1">
        <v>5</v>
      </c>
      <c r="B6" s="1" t="s">
        <v>6</v>
      </c>
      <c r="C6" s="1">
        <v>95</v>
      </c>
      <c r="E6" s="2" t="s">
        <v>13</v>
      </c>
      <c r="F6" s="2">
        <f>HLOOKUP(F5,E1:O3,3,FALSE)</f>
        <v>80</v>
      </c>
      <c r="G6" s="2"/>
      <c r="H6" s="2"/>
      <c r="I6" s="2"/>
      <c r="J6" s="2"/>
      <c r="K6" s="2"/>
      <c r="L6" s="2"/>
      <c r="M6" s="2"/>
      <c r="N6" s="2"/>
      <c r="O6" s="2"/>
      <c r="Q6" s="3" t="s">
        <v>20</v>
      </c>
      <c r="S6" s="4"/>
      <c r="U6" s="5"/>
      <c r="V6" s="5"/>
    </row>
    <row r="7" spans="1:22" x14ac:dyDescent="0.3">
      <c r="A7" s="1">
        <v>6</v>
      </c>
      <c r="B7" s="1" t="s">
        <v>7</v>
      </c>
      <c r="C7" s="1">
        <v>85</v>
      </c>
      <c r="Q7" s="3"/>
      <c r="S7" s="4" cm="1">
        <f t="array" ref="S7">INDEX(S1:S5,S8)</f>
        <v>30</v>
      </c>
      <c r="U7" s="5"/>
      <c r="V7" s="5" cm="1">
        <f t="array" ref="V7">INDEX(U1:V5,U8,V8)</f>
        <v>60</v>
      </c>
    </row>
    <row r="8" spans="1:22" x14ac:dyDescent="0.3">
      <c r="A8" s="1">
        <v>7</v>
      </c>
      <c r="B8" s="1" t="s">
        <v>8</v>
      </c>
      <c r="C8" s="1">
        <v>70</v>
      </c>
      <c r="Q8" s="3">
        <f>MATCH(Q9,Q1:Q6,0)</f>
        <v>6</v>
      </c>
      <c r="S8" s="4">
        <v>3</v>
      </c>
      <c r="U8" s="5">
        <v>5</v>
      </c>
      <c r="V8" s="5">
        <v>2</v>
      </c>
    </row>
    <row r="9" spans="1:22" x14ac:dyDescent="0.3">
      <c r="A9" s="1">
        <v>8</v>
      </c>
      <c r="B9" s="1" t="s">
        <v>9</v>
      </c>
      <c r="C9" s="1">
        <v>75</v>
      </c>
      <c r="F9" s="6" t="s">
        <v>22</v>
      </c>
      <c r="G9" s="6">
        <v>3</v>
      </c>
      <c r="Q9" s="3" t="s">
        <v>21</v>
      </c>
    </row>
    <row r="10" spans="1:22" x14ac:dyDescent="0.3">
      <c r="A10" s="1">
        <v>9</v>
      </c>
      <c r="B10" s="1" t="s">
        <v>10</v>
      </c>
      <c r="C10" s="1">
        <v>82</v>
      </c>
      <c r="F10" s="6" t="s">
        <v>23</v>
      </c>
      <c r="G10" s="6" t="str">
        <f>CHOOSE(G9,"Jan","Feb","Mar","Apr","May","Jun","Jul","Aug","Sep","Oct","Nov","Dec")</f>
        <v>Mar</v>
      </c>
    </row>
    <row r="11" spans="1:22" x14ac:dyDescent="0.3">
      <c r="A11" s="1">
        <v>10</v>
      </c>
      <c r="B11" s="1" t="s">
        <v>11</v>
      </c>
      <c r="C11" s="1">
        <v>93</v>
      </c>
    </row>
    <row r="12" spans="1:22" x14ac:dyDescent="0.3">
      <c r="A12" s="1"/>
      <c r="B12" s="1"/>
      <c r="C12" s="1"/>
    </row>
    <row r="13" spans="1:22" x14ac:dyDescent="0.3">
      <c r="A13" s="1" t="s">
        <v>12</v>
      </c>
      <c r="B13" s="1">
        <v>8</v>
      </c>
      <c r="C13" s="1"/>
    </row>
    <row r="14" spans="1:22" x14ac:dyDescent="0.3">
      <c r="A14" s="1" t="s">
        <v>13</v>
      </c>
      <c r="B14" s="1">
        <f>VLOOKUP(B13,A1:C11,3,FALSE)</f>
        <v>75</v>
      </c>
      <c r="C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8DD2-F0C9-4426-8816-5B1186B7CF95}">
  <dimension ref="A1:U28"/>
  <sheetViews>
    <sheetView topLeftCell="A2" workbookViewId="0">
      <selection activeCell="K2" sqref="K2:N7"/>
    </sheetView>
  </sheetViews>
  <sheetFormatPr defaultRowHeight="14.4" x14ac:dyDescent="0.3"/>
  <cols>
    <col min="2" max="2" width="9.44140625" customWidth="1"/>
    <col min="5" max="5" width="9.44140625" customWidth="1"/>
  </cols>
  <sheetData>
    <row r="1" spans="1:21" x14ac:dyDescent="0.3">
      <c r="A1" s="6" t="s">
        <v>24</v>
      </c>
      <c r="B1" s="6" t="s">
        <v>25</v>
      </c>
      <c r="C1" s="6" t="s">
        <v>26</v>
      </c>
      <c r="D1" s="6" t="s">
        <v>27</v>
      </c>
      <c r="F1" s="1" t="s">
        <v>24</v>
      </c>
      <c r="G1" s="1" t="s">
        <v>25</v>
      </c>
      <c r="H1" s="1" t="s">
        <v>26</v>
      </c>
      <c r="I1" s="1" t="s">
        <v>27</v>
      </c>
      <c r="K1" s="3" t="s">
        <v>24</v>
      </c>
      <c r="L1" s="3" t="s">
        <v>25</v>
      </c>
      <c r="M1" s="3" t="s">
        <v>26</v>
      </c>
      <c r="N1" s="3" t="s">
        <v>27</v>
      </c>
      <c r="P1" s="8" t="s">
        <v>24</v>
      </c>
      <c r="Q1" s="8" t="s">
        <v>25</v>
      </c>
      <c r="R1" s="8" t="s">
        <v>26</v>
      </c>
      <c r="S1" s="8" t="s">
        <v>27</v>
      </c>
    </row>
    <row r="2" spans="1:21" x14ac:dyDescent="0.3">
      <c r="A2" s="6">
        <v>101</v>
      </c>
      <c r="B2" s="6" t="s">
        <v>28</v>
      </c>
      <c r="C2" s="6" t="s">
        <v>34</v>
      </c>
      <c r="D2" s="6">
        <v>50000</v>
      </c>
      <c r="F2" s="1">
        <v>32</v>
      </c>
      <c r="G2" s="1" t="s">
        <v>33</v>
      </c>
      <c r="H2" s="1" t="s">
        <v>38</v>
      </c>
      <c r="I2" s="1">
        <v>20000</v>
      </c>
      <c r="K2" s="3">
        <v>32</v>
      </c>
      <c r="L2" s="3" t="s">
        <v>33</v>
      </c>
      <c r="M2" s="3" t="s">
        <v>38</v>
      </c>
      <c r="N2" s="3">
        <v>20000</v>
      </c>
      <c r="P2" s="8">
        <v>32</v>
      </c>
      <c r="Q2" s="8" t="s">
        <v>33</v>
      </c>
      <c r="R2" s="8" t="s">
        <v>38</v>
      </c>
      <c r="S2" s="8">
        <v>20000</v>
      </c>
    </row>
    <row r="3" spans="1:21" x14ac:dyDescent="0.3">
      <c r="A3" s="6">
        <v>121</v>
      </c>
      <c r="B3" s="6" t="s">
        <v>29</v>
      </c>
      <c r="C3" s="6" t="s">
        <v>35</v>
      </c>
      <c r="D3" s="6">
        <v>60000</v>
      </c>
      <c r="F3" s="1">
        <v>56</v>
      </c>
      <c r="G3" s="1" t="s">
        <v>30</v>
      </c>
      <c r="H3" s="1" t="s">
        <v>36</v>
      </c>
      <c r="I3" s="1">
        <v>40000</v>
      </c>
      <c r="K3" s="3">
        <v>56</v>
      </c>
      <c r="L3" s="3" t="s">
        <v>30</v>
      </c>
      <c r="M3" s="3" t="s">
        <v>36</v>
      </c>
      <c r="N3" s="3">
        <v>40000</v>
      </c>
      <c r="P3" s="8">
        <v>56</v>
      </c>
      <c r="Q3" s="8" t="s">
        <v>30</v>
      </c>
      <c r="R3" s="8" t="s">
        <v>43</v>
      </c>
      <c r="S3" s="8">
        <v>35000</v>
      </c>
    </row>
    <row r="4" spans="1:21" x14ac:dyDescent="0.3">
      <c r="A4" s="6">
        <v>56</v>
      </c>
      <c r="B4" s="6" t="s">
        <v>30</v>
      </c>
      <c r="C4" s="6" t="s">
        <v>36</v>
      </c>
      <c r="D4" s="6">
        <v>40000</v>
      </c>
      <c r="F4" s="1">
        <v>63</v>
      </c>
      <c r="G4" s="1" t="s">
        <v>32</v>
      </c>
      <c r="H4" s="1" t="s">
        <v>39</v>
      </c>
      <c r="I4" s="1">
        <v>100000</v>
      </c>
      <c r="K4" s="3">
        <v>101</v>
      </c>
      <c r="L4" s="3" t="s">
        <v>28</v>
      </c>
      <c r="M4" s="3" t="s">
        <v>34</v>
      </c>
      <c r="N4" s="3">
        <v>50000</v>
      </c>
      <c r="P4" s="8">
        <v>56</v>
      </c>
      <c r="Q4" s="8" t="s">
        <v>30</v>
      </c>
      <c r="R4" s="8" t="s">
        <v>36</v>
      </c>
      <c r="S4" s="8">
        <v>40000</v>
      </c>
    </row>
    <row r="5" spans="1:21" x14ac:dyDescent="0.3">
      <c r="A5" s="6">
        <v>110</v>
      </c>
      <c r="B5" s="6" t="s">
        <v>31</v>
      </c>
      <c r="C5" s="6" t="s">
        <v>37</v>
      </c>
      <c r="D5" s="6">
        <v>30000</v>
      </c>
      <c r="F5" s="1">
        <v>101</v>
      </c>
      <c r="G5" s="1" t="s">
        <v>28</v>
      </c>
      <c r="H5" s="1" t="s">
        <v>34</v>
      </c>
      <c r="I5" s="1">
        <v>50000</v>
      </c>
      <c r="K5" s="3">
        <v>110</v>
      </c>
      <c r="L5" s="3" t="s">
        <v>31</v>
      </c>
      <c r="M5" s="3" t="s">
        <v>37</v>
      </c>
      <c r="N5" s="3">
        <v>30000</v>
      </c>
      <c r="P5" s="8">
        <v>101</v>
      </c>
      <c r="Q5" s="8" t="s">
        <v>28</v>
      </c>
      <c r="R5" s="8" t="s">
        <v>34</v>
      </c>
      <c r="S5" s="8">
        <v>50000</v>
      </c>
    </row>
    <row r="6" spans="1:21" x14ac:dyDescent="0.3">
      <c r="A6" s="6">
        <v>63</v>
      </c>
      <c r="B6" s="6" t="s">
        <v>32</v>
      </c>
      <c r="C6" s="6" t="s">
        <v>39</v>
      </c>
      <c r="D6" s="6">
        <v>100000</v>
      </c>
      <c r="F6" s="1">
        <v>110</v>
      </c>
      <c r="G6" s="1" t="s">
        <v>31</v>
      </c>
      <c r="H6" s="1" t="s">
        <v>37</v>
      </c>
      <c r="I6" s="1">
        <v>30000</v>
      </c>
      <c r="K6" s="3">
        <v>121</v>
      </c>
      <c r="L6" s="3" t="s">
        <v>29</v>
      </c>
      <c r="M6" s="3" t="s">
        <v>35</v>
      </c>
      <c r="N6" s="3">
        <v>60000</v>
      </c>
      <c r="P6" s="8">
        <v>110</v>
      </c>
      <c r="Q6" s="8" t="s">
        <v>31</v>
      </c>
      <c r="R6" s="8" t="s">
        <v>37</v>
      </c>
      <c r="S6" s="8">
        <v>30000</v>
      </c>
    </row>
    <row r="7" spans="1:21" x14ac:dyDescent="0.3">
      <c r="A7" s="6">
        <v>32</v>
      </c>
      <c r="B7" s="6" t="s">
        <v>33</v>
      </c>
      <c r="C7" s="6" t="s">
        <v>38</v>
      </c>
      <c r="D7" s="6">
        <v>20000</v>
      </c>
      <c r="F7" s="1">
        <v>121</v>
      </c>
      <c r="G7" s="1" t="s">
        <v>29</v>
      </c>
      <c r="H7" s="1" t="s">
        <v>35</v>
      </c>
      <c r="I7" s="1">
        <v>60000</v>
      </c>
      <c r="K7" s="3">
        <v>56</v>
      </c>
      <c r="L7" s="3" t="s">
        <v>30</v>
      </c>
      <c r="M7" s="3" t="s">
        <v>40</v>
      </c>
      <c r="N7" s="3">
        <v>50000</v>
      </c>
      <c r="P7" s="8">
        <v>121</v>
      </c>
      <c r="Q7" s="8" t="s">
        <v>29</v>
      </c>
      <c r="R7" s="8" t="s">
        <v>35</v>
      </c>
      <c r="S7" s="8">
        <v>60000</v>
      </c>
    </row>
    <row r="8" spans="1:21" x14ac:dyDescent="0.3">
      <c r="A8" s="6"/>
      <c r="B8" s="6"/>
      <c r="C8" s="6"/>
      <c r="D8" s="6"/>
      <c r="F8" s="1"/>
      <c r="G8" s="1"/>
      <c r="H8" s="1"/>
      <c r="I8" s="1"/>
      <c r="K8" s="3"/>
      <c r="L8" s="3"/>
      <c r="M8" s="3"/>
      <c r="N8" s="3"/>
      <c r="P8" s="8">
        <v>56</v>
      </c>
      <c r="Q8" s="8" t="s">
        <v>30</v>
      </c>
      <c r="R8" s="8" t="s">
        <v>40</v>
      </c>
      <c r="S8" s="8">
        <v>50000</v>
      </c>
    </row>
    <row r="9" spans="1:21" x14ac:dyDescent="0.3">
      <c r="A9" s="6" t="s">
        <v>24</v>
      </c>
      <c r="B9" s="6">
        <v>63</v>
      </c>
      <c r="C9" s="6"/>
      <c r="D9" s="6"/>
      <c r="F9" s="1" t="s">
        <v>24</v>
      </c>
      <c r="G9" s="1">
        <v>115</v>
      </c>
      <c r="H9" s="1"/>
      <c r="I9" s="1"/>
      <c r="K9" s="3" t="s">
        <v>24</v>
      </c>
      <c r="L9" s="3">
        <v>56</v>
      </c>
      <c r="M9" s="7" t="s">
        <v>41</v>
      </c>
      <c r="N9" s="7" t="s">
        <v>42</v>
      </c>
      <c r="P9" s="8"/>
      <c r="Q9" s="8"/>
      <c r="R9" s="8"/>
      <c r="S9" s="8"/>
    </row>
    <row r="10" spans="1:21" x14ac:dyDescent="0.3">
      <c r="A10" s="6" t="s">
        <v>27</v>
      </c>
      <c r="B10" s="6">
        <f>VLOOKUP(B9,A1:D7,4,FALSE)</f>
        <v>100000</v>
      </c>
      <c r="C10" s="6"/>
      <c r="D10" s="6"/>
      <c r="F10" s="1" t="s">
        <v>27</v>
      </c>
      <c r="G10" s="1">
        <f>VLOOKUP(G9,F1:I7,4,TRUE)</f>
        <v>30000</v>
      </c>
      <c r="H10" s="1"/>
      <c r="I10" s="1"/>
      <c r="K10" s="3" t="s">
        <v>27</v>
      </c>
      <c r="L10" s="3">
        <f>VLOOKUP(L9,K1:N7,4,FALSE)</f>
        <v>40000</v>
      </c>
      <c r="M10" s="7" t="s">
        <v>25</v>
      </c>
      <c r="N10" s="7" t="str">
        <f>VLOOKUP(N9&amp;"*",L1:N7,1,FALSE)</f>
        <v>jhon</v>
      </c>
      <c r="P10" s="8" t="s">
        <v>25</v>
      </c>
      <c r="Q10" s="8" t="s">
        <v>30</v>
      </c>
      <c r="R10" s="8"/>
      <c r="S10" s="8"/>
    </row>
    <row r="11" spans="1:21" x14ac:dyDescent="0.3">
      <c r="A11" s="6" t="s">
        <v>25</v>
      </c>
      <c r="B11" s="6" t="str">
        <f>VLOOKUP(B9,A1:D7,2,FALSE)</f>
        <v>king</v>
      </c>
      <c r="C11" s="6"/>
      <c r="D11" s="6"/>
      <c r="F11" s="1" t="s">
        <v>25</v>
      </c>
      <c r="G11" s="1" t="str">
        <f>VLOOKUP(G9,F1:I7,2,TRUE)</f>
        <v>bark</v>
      </c>
      <c r="H11" s="1"/>
      <c r="I11" s="1"/>
      <c r="K11" s="3" t="s">
        <v>25</v>
      </c>
      <c r="L11" s="3" t="str">
        <f>VLOOKUP(L9,K1:N7,2,FALSE)</f>
        <v>clark</v>
      </c>
      <c r="M11" s="7" t="s">
        <v>26</v>
      </c>
      <c r="N11" s="7" t="str">
        <f>VLOOKUP(N9&amp;"*",L1:N7,2,FALSE)</f>
        <v>rane</v>
      </c>
      <c r="P11" s="8" t="s">
        <v>26</v>
      </c>
      <c r="Q11" s="8" t="s">
        <v>40</v>
      </c>
      <c r="R11" s="8"/>
      <c r="S11" s="8"/>
    </row>
    <row r="12" spans="1:21" x14ac:dyDescent="0.3">
      <c r="A12" s="6" t="s">
        <v>26</v>
      </c>
      <c r="B12" s="6" t="str">
        <f>VLOOKUP(B9,A1:D7,3,FALSE)</f>
        <v>pawar</v>
      </c>
      <c r="C12" s="6"/>
      <c r="D12" s="6"/>
      <c r="F12" s="1" t="s">
        <v>26</v>
      </c>
      <c r="G12" s="1" t="str">
        <f>VLOOKUP(G9,F1:I7,3,TRUE)</f>
        <v>ghag</v>
      </c>
      <c r="H12" s="1"/>
      <c r="I12" s="1"/>
      <c r="K12" s="3" t="s">
        <v>26</v>
      </c>
      <c r="L12" s="3" t="str">
        <f>VLOOKUP(L9,K1:N7,3,FALSE)</f>
        <v>gawas</v>
      </c>
      <c r="M12" s="7" t="s">
        <v>27</v>
      </c>
      <c r="N12" s="7">
        <f>VLOOKUP(N9&amp;"*",L1:N7,3,FALSE)</f>
        <v>60000</v>
      </c>
      <c r="P12" s="9" t="s">
        <v>27</v>
      </c>
      <c r="Q12" s="9" cm="1">
        <f t="array" ref="Q12">_xlfn.IFNA(INDEX(S1:S8,MATCH(Q10&amp;Q11,Q1:Q8&amp;R1:R8,0)),"NotFound")</f>
        <v>50000</v>
      </c>
      <c r="R12" s="8"/>
      <c r="S12" s="8"/>
    </row>
    <row r="14" spans="1:21" x14ac:dyDescent="0.3">
      <c r="A14" s="5" t="s">
        <v>44</v>
      </c>
      <c r="B14" s="5" t="s">
        <v>45</v>
      </c>
      <c r="C14" s="5" t="s">
        <v>46</v>
      </c>
      <c r="D14" s="11"/>
      <c r="E14" s="12" t="s">
        <v>49</v>
      </c>
      <c r="F14" s="12" t="s">
        <v>45</v>
      </c>
      <c r="G14" s="12" t="s">
        <v>46</v>
      </c>
      <c r="H14" s="11"/>
      <c r="I14" s="13" t="s">
        <v>50</v>
      </c>
      <c r="J14" s="13" t="s">
        <v>45</v>
      </c>
      <c r="K14" s="13" t="s">
        <v>46</v>
      </c>
      <c r="M14" s="10" t="s">
        <v>24</v>
      </c>
      <c r="N14" s="10" t="s">
        <v>25</v>
      </c>
      <c r="O14" s="10" t="s">
        <v>26</v>
      </c>
      <c r="P14" s="10" t="s">
        <v>27</v>
      </c>
      <c r="R14" s="4" t="s">
        <v>24</v>
      </c>
      <c r="S14" s="4" t="s">
        <v>25</v>
      </c>
      <c r="T14" s="4" t="s">
        <v>26</v>
      </c>
      <c r="U14" s="4" t="s">
        <v>27</v>
      </c>
    </row>
    <row r="15" spans="1:21" x14ac:dyDescent="0.3">
      <c r="A15" s="5" t="s">
        <v>47</v>
      </c>
      <c r="B15" s="5">
        <v>5000</v>
      </c>
      <c r="C15" s="5">
        <f>VLOOKUP(B15,IF(A15="uk",$J$14:$K$21,$F$14:$G$21),2,TRUE)</f>
        <v>50</v>
      </c>
      <c r="D15" s="11"/>
      <c r="E15" s="12" t="s">
        <v>49</v>
      </c>
      <c r="F15" s="12">
        <v>2000</v>
      </c>
      <c r="G15" s="12">
        <v>200</v>
      </c>
      <c r="H15" s="11"/>
      <c r="I15" s="13" t="s">
        <v>50</v>
      </c>
      <c r="J15" s="13">
        <v>2000</v>
      </c>
      <c r="K15" s="13">
        <v>20</v>
      </c>
      <c r="M15" s="10">
        <v>101</v>
      </c>
      <c r="N15" s="10" t="s">
        <v>28</v>
      </c>
      <c r="O15" s="10" t="s">
        <v>34</v>
      </c>
      <c r="P15" s="10">
        <v>50000</v>
      </c>
      <c r="R15" s="4">
        <v>101</v>
      </c>
      <c r="S15" s="4" t="s">
        <v>28</v>
      </c>
      <c r="T15" s="4" t="s">
        <v>34</v>
      </c>
      <c r="U15" s="4">
        <v>50000</v>
      </c>
    </row>
    <row r="16" spans="1:21" x14ac:dyDescent="0.3">
      <c r="A16" s="5" t="s">
        <v>48</v>
      </c>
      <c r="B16" s="5">
        <v>6000</v>
      </c>
      <c r="C16" s="5">
        <f t="shared" ref="C16:C21" si="0">VLOOKUP(B16,IF(A16="uk",$J$14:$K$21,$F$14:$G$21),2,TRUE)</f>
        <v>600</v>
      </c>
      <c r="D16" s="11"/>
      <c r="E16" s="12" t="s">
        <v>49</v>
      </c>
      <c r="F16" s="12">
        <v>3000</v>
      </c>
      <c r="G16" s="12">
        <v>300</v>
      </c>
      <c r="H16" s="11"/>
      <c r="I16" s="13" t="s">
        <v>50</v>
      </c>
      <c r="J16" s="13">
        <v>3000</v>
      </c>
      <c r="K16" s="13">
        <v>30</v>
      </c>
      <c r="M16" s="10">
        <v>121</v>
      </c>
      <c r="N16" s="10" t="s">
        <v>29</v>
      </c>
      <c r="O16" s="10" t="s">
        <v>35</v>
      </c>
      <c r="P16" s="10">
        <v>60000</v>
      </c>
      <c r="R16" s="4">
        <v>121</v>
      </c>
      <c r="S16" s="4" t="s">
        <v>29</v>
      </c>
      <c r="T16" s="4" t="s">
        <v>35</v>
      </c>
      <c r="U16" s="4">
        <v>60000</v>
      </c>
    </row>
    <row r="17" spans="1:21" x14ac:dyDescent="0.3">
      <c r="A17" s="5" t="s">
        <v>47</v>
      </c>
      <c r="B17" s="5">
        <v>4300</v>
      </c>
      <c r="C17" s="5">
        <f t="shared" si="0"/>
        <v>40</v>
      </c>
      <c r="D17" s="11"/>
      <c r="E17" s="12" t="s">
        <v>49</v>
      </c>
      <c r="F17" s="12">
        <v>4000</v>
      </c>
      <c r="G17" s="12">
        <v>400</v>
      </c>
      <c r="H17" s="11"/>
      <c r="I17" s="13" t="s">
        <v>50</v>
      </c>
      <c r="J17" s="13">
        <v>4000</v>
      </c>
      <c r="K17" s="13">
        <v>40</v>
      </c>
      <c r="M17" s="10">
        <v>110</v>
      </c>
      <c r="N17" s="10" t="s">
        <v>31</v>
      </c>
      <c r="O17" s="10" t="s">
        <v>37</v>
      </c>
      <c r="P17" s="10">
        <v>30000</v>
      </c>
      <c r="R17" s="4">
        <v>110</v>
      </c>
      <c r="S17" s="4" t="s">
        <v>31</v>
      </c>
      <c r="T17" s="4" t="s">
        <v>37</v>
      </c>
      <c r="U17" s="4">
        <v>30000</v>
      </c>
    </row>
    <row r="18" spans="1:21" x14ac:dyDescent="0.3">
      <c r="A18" s="5" t="s">
        <v>48</v>
      </c>
      <c r="B18" s="5">
        <v>5500</v>
      </c>
      <c r="C18" s="5">
        <f t="shared" si="0"/>
        <v>500</v>
      </c>
      <c r="D18" s="11"/>
      <c r="E18" s="12" t="s">
        <v>49</v>
      </c>
      <c r="F18" s="12">
        <v>5000</v>
      </c>
      <c r="G18" s="12">
        <v>500</v>
      </c>
      <c r="H18" s="11"/>
      <c r="I18" s="13" t="s">
        <v>50</v>
      </c>
      <c r="J18" s="13">
        <v>5000</v>
      </c>
      <c r="K18" s="13">
        <v>50</v>
      </c>
      <c r="M18" s="10">
        <v>63</v>
      </c>
      <c r="N18" s="10" t="s">
        <v>32</v>
      </c>
      <c r="O18" s="10" t="s">
        <v>39</v>
      </c>
      <c r="P18" s="10">
        <v>100000</v>
      </c>
      <c r="R18" s="4">
        <v>63</v>
      </c>
      <c r="S18" s="4" t="s">
        <v>32</v>
      </c>
      <c r="T18" s="4" t="s">
        <v>39</v>
      </c>
      <c r="U18" s="4">
        <v>100000</v>
      </c>
    </row>
    <row r="19" spans="1:21" x14ac:dyDescent="0.3">
      <c r="A19" s="5" t="s">
        <v>48</v>
      </c>
      <c r="B19" s="5">
        <v>3500</v>
      </c>
      <c r="C19" s="5">
        <f t="shared" si="0"/>
        <v>300</v>
      </c>
      <c r="D19" s="11"/>
      <c r="E19" s="12" t="s">
        <v>49</v>
      </c>
      <c r="F19" s="12">
        <v>6000</v>
      </c>
      <c r="G19" s="12">
        <v>600</v>
      </c>
      <c r="H19" s="11"/>
      <c r="I19" s="13" t="s">
        <v>50</v>
      </c>
      <c r="J19" s="13">
        <v>6000</v>
      </c>
      <c r="K19" s="13">
        <v>60</v>
      </c>
      <c r="M19" s="10">
        <v>32</v>
      </c>
      <c r="N19" s="10" t="s">
        <v>33</v>
      </c>
      <c r="O19" s="10" t="s">
        <v>38</v>
      </c>
      <c r="P19" s="10">
        <v>20000</v>
      </c>
      <c r="R19" s="4">
        <v>32</v>
      </c>
      <c r="S19" s="4" t="s">
        <v>33</v>
      </c>
      <c r="T19" s="4" t="s">
        <v>38</v>
      </c>
      <c r="U19" s="4">
        <v>20000</v>
      </c>
    </row>
    <row r="20" spans="1:21" x14ac:dyDescent="0.3">
      <c r="A20" s="5" t="s">
        <v>48</v>
      </c>
      <c r="B20" s="5">
        <v>7000</v>
      </c>
      <c r="C20" s="5">
        <f t="shared" si="0"/>
        <v>700</v>
      </c>
      <c r="D20" s="11"/>
      <c r="E20" s="12" t="s">
        <v>49</v>
      </c>
      <c r="F20" s="12">
        <v>7000</v>
      </c>
      <c r="G20" s="12">
        <v>700</v>
      </c>
      <c r="H20" s="11"/>
      <c r="I20" s="13" t="s">
        <v>50</v>
      </c>
      <c r="J20" s="13">
        <v>7000</v>
      </c>
      <c r="K20" s="13">
        <v>70</v>
      </c>
      <c r="M20" s="10"/>
      <c r="N20" s="10"/>
      <c r="O20" s="10"/>
      <c r="P20" s="10"/>
      <c r="R20" s="4"/>
      <c r="S20" s="4"/>
      <c r="T20" s="4"/>
      <c r="U20" s="4"/>
    </row>
    <row r="21" spans="1:21" x14ac:dyDescent="0.3">
      <c r="A21" s="5" t="s">
        <v>47</v>
      </c>
      <c r="B21" s="5">
        <v>6500</v>
      </c>
      <c r="C21" s="5">
        <f t="shared" si="0"/>
        <v>60</v>
      </c>
      <c r="D21" s="11"/>
      <c r="E21" s="12" t="s">
        <v>49</v>
      </c>
      <c r="F21" s="12">
        <v>8000</v>
      </c>
      <c r="G21" s="12">
        <v>800</v>
      </c>
      <c r="H21" s="11"/>
      <c r="I21" s="13" t="s">
        <v>50</v>
      </c>
      <c r="J21" s="13">
        <v>8000</v>
      </c>
      <c r="K21" s="13">
        <v>80</v>
      </c>
      <c r="M21" s="10" t="s">
        <v>24</v>
      </c>
      <c r="N21" s="10">
        <v>63</v>
      </c>
      <c r="O21" s="10" t="s">
        <v>27</v>
      </c>
      <c r="P21" s="10">
        <f>INDEX(P14:P19,MATCH(N21,M14:M19,0))</f>
        <v>100000</v>
      </c>
      <c r="R21" s="4" t="s">
        <v>24</v>
      </c>
      <c r="S21" s="4">
        <v>121</v>
      </c>
      <c r="T21" s="4" t="s">
        <v>27</v>
      </c>
      <c r="U21" s="4">
        <f>_xlfn.XLOOKUP(S21,R14:R19,U14:U19,"Not Found",0,1)</f>
        <v>60000</v>
      </c>
    </row>
    <row r="23" spans="1:21" x14ac:dyDescent="0.3">
      <c r="A23" s="16"/>
      <c r="B23" s="16"/>
      <c r="C23" s="16"/>
      <c r="D23" s="16"/>
      <c r="E23" s="16"/>
      <c r="F23" s="16"/>
    </row>
    <row r="24" spans="1:21" x14ac:dyDescent="0.3">
      <c r="A24" s="15" t="s">
        <v>51</v>
      </c>
      <c r="B24" s="15" t="s">
        <v>52</v>
      </c>
      <c r="C24" s="15" t="s">
        <v>53</v>
      </c>
      <c r="D24" s="14"/>
      <c r="E24" s="15" t="s">
        <v>52</v>
      </c>
      <c r="F24" s="15" t="s">
        <v>53</v>
      </c>
    </row>
    <row r="25" spans="1:21" x14ac:dyDescent="0.3">
      <c r="A25" s="15" t="s">
        <v>59</v>
      </c>
      <c r="B25" s="15" t="s">
        <v>54</v>
      </c>
      <c r="C25" s="15" t="str">
        <f>VLOOKUP(Table1[[#This Row],[country]],Table2[#All],2,FALSE)</f>
        <v>ind</v>
      </c>
      <c r="D25" s="14"/>
      <c r="E25" s="15" t="s">
        <v>54</v>
      </c>
      <c r="F25" s="15" t="s">
        <v>55</v>
      </c>
    </row>
    <row r="26" spans="1:21" x14ac:dyDescent="0.3">
      <c r="A26" s="15" t="s">
        <v>61</v>
      </c>
      <c r="B26" s="15" t="s">
        <v>58</v>
      </c>
      <c r="C26" s="15" t="str">
        <f>VLOOKUP(Table1[[#This Row],[country]],Table2[#All],2,FALSE)</f>
        <v>uk</v>
      </c>
      <c r="D26" s="14"/>
      <c r="E26" s="15" t="s">
        <v>56</v>
      </c>
      <c r="F26" s="15" t="s">
        <v>57</v>
      </c>
    </row>
    <row r="27" spans="1:21" x14ac:dyDescent="0.3">
      <c r="A27" s="15" t="s">
        <v>60</v>
      </c>
      <c r="B27" s="15" t="s">
        <v>56</v>
      </c>
      <c r="C27" s="15" t="str">
        <f>VLOOKUP(Table1[[#This Row],[country]],Table2[#All],2,FALSE)</f>
        <v>usa</v>
      </c>
      <c r="D27" s="14"/>
      <c r="E27" s="15" t="s">
        <v>58</v>
      </c>
      <c r="F27" s="15" t="s">
        <v>47</v>
      </c>
    </row>
    <row r="28" spans="1:21" x14ac:dyDescent="0.3">
      <c r="A28" s="16"/>
      <c r="B28" s="16"/>
      <c r="C28" s="16"/>
      <c r="D28" s="16"/>
      <c r="E28" s="16"/>
      <c r="F28" s="16"/>
    </row>
  </sheetData>
  <sortState xmlns:xlrd2="http://schemas.microsoft.com/office/spreadsheetml/2017/richdata2" ref="I15:K21">
    <sortCondition ref="J15:J21"/>
  </sortState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B56-D31B-46E3-ABB8-F8F8D279470C}">
  <dimension ref="A1:V24"/>
  <sheetViews>
    <sheetView workbookViewId="0">
      <selection activeCell="A14" sqref="A14:D20"/>
    </sheetView>
  </sheetViews>
  <sheetFormatPr defaultRowHeight="14.4" x14ac:dyDescent="0.3"/>
  <sheetData>
    <row r="1" spans="1:22" x14ac:dyDescent="0.3">
      <c r="A1" s="1" t="s">
        <v>24</v>
      </c>
      <c r="B1" s="1" t="s">
        <v>25</v>
      </c>
      <c r="C1" s="1" t="s">
        <v>26</v>
      </c>
      <c r="D1" s="1" t="s">
        <v>27</v>
      </c>
      <c r="F1" s="18" t="s">
        <v>24</v>
      </c>
      <c r="G1" s="18" t="s">
        <v>25</v>
      </c>
      <c r="H1" s="18" t="s">
        <v>26</v>
      </c>
      <c r="I1" s="18" t="s">
        <v>27</v>
      </c>
      <c r="K1" s="21" t="s">
        <v>24</v>
      </c>
      <c r="L1" s="21" t="s">
        <v>25</v>
      </c>
      <c r="M1" s="21" t="s">
        <v>26</v>
      </c>
      <c r="N1" s="21" t="s">
        <v>27</v>
      </c>
      <c r="P1" s="22" t="s">
        <v>24</v>
      </c>
      <c r="Q1" s="22">
        <v>101</v>
      </c>
      <c r="R1" s="22">
        <v>121</v>
      </c>
      <c r="S1" s="22">
        <v>56</v>
      </c>
      <c r="T1" s="22">
        <v>110</v>
      </c>
      <c r="U1" s="22">
        <v>63</v>
      </c>
      <c r="V1" s="22">
        <v>32</v>
      </c>
    </row>
    <row r="2" spans="1:22" x14ac:dyDescent="0.3">
      <c r="A2" s="1">
        <v>101</v>
      </c>
      <c r="B2" s="1" t="s">
        <v>28</v>
      </c>
      <c r="C2" s="1" t="s">
        <v>34</v>
      </c>
      <c r="D2" s="1">
        <v>50000</v>
      </c>
      <c r="F2" s="18">
        <v>101</v>
      </c>
      <c r="G2" s="18" t="s">
        <v>28</v>
      </c>
      <c r="H2" s="18" t="s">
        <v>34</v>
      </c>
      <c r="I2" s="18">
        <v>50000</v>
      </c>
      <c r="K2" s="21">
        <v>101</v>
      </c>
      <c r="L2" s="21" t="s">
        <v>28</v>
      </c>
      <c r="M2" s="21" t="s">
        <v>34</v>
      </c>
      <c r="N2" s="21">
        <v>50000</v>
      </c>
      <c r="P2" s="22" t="s">
        <v>25</v>
      </c>
      <c r="Q2" s="22" t="s">
        <v>28</v>
      </c>
      <c r="R2" s="22" t="s">
        <v>29</v>
      </c>
      <c r="S2" s="22" t="s">
        <v>30</v>
      </c>
      <c r="T2" s="22" t="s">
        <v>31</v>
      </c>
      <c r="U2" s="22" t="s">
        <v>32</v>
      </c>
      <c r="V2" s="22" t="s">
        <v>33</v>
      </c>
    </row>
    <row r="3" spans="1:22" x14ac:dyDescent="0.3">
      <c r="A3" s="1">
        <v>121</v>
      </c>
      <c r="B3" s="1" t="s">
        <v>29</v>
      </c>
      <c r="C3" s="1" t="s">
        <v>35</v>
      </c>
      <c r="D3" s="1">
        <v>60000</v>
      </c>
      <c r="F3" s="18">
        <v>121</v>
      </c>
      <c r="G3" s="18" t="s">
        <v>29</v>
      </c>
      <c r="H3" s="18" t="s">
        <v>35</v>
      </c>
      <c r="I3" s="18">
        <v>60000</v>
      </c>
      <c r="K3" s="21">
        <v>121</v>
      </c>
      <c r="L3" s="21" t="s">
        <v>29</v>
      </c>
      <c r="M3" s="21" t="s">
        <v>35</v>
      </c>
      <c r="N3" s="21">
        <v>60000</v>
      </c>
      <c r="P3" s="22" t="s">
        <v>26</v>
      </c>
      <c r="Q3" s="22" t="s">
        <v>34</v>
      </c>
      <c r="R3" s="22" t="s">
        <v>35</v>
      </c>
      <c r="S3" s="22" t="s">
        <v>36</v>
      </c>
      <c r="T3" s="22" t="s">
        <v>37</v>
      </c>
      <c r="U3" s="22" t="s">
        <v>39</v>
      </c>
      <c r="V3" s="22" t="s">
        <v>38</v>
      </c>
    </row>
    <row r="4" spans="1:22" x14ac:dyDescent="0.3">
      <c r="A4" s="1">
        <v>56</v>
      </c>
      <c r="B4" s="1" t="s">
        <v>30</v>
      </c>
      <c r="C4" s="1" t="s">
        <v>36</v>
      </c>
      <c r="D4" s="1">
        <v>40000</v>
      </c>
      <c r="F4" s="18">
        <v>56</v>
      </c>
      <c r="G4" s="18" t="s">
        <v>30</v>
      </c>
      <c r="H4" s="18" t="s">
        <v>36</v>
      </c>
      <c r="I4" s="18">
        <v>40000</v>
      </c>
      <c r="K4" s="21">
        <v>56</v>
      </c>
      <c r="L4" s="21" t="s">
        <v>30</v>
      </c>
      <c r="M4" s="21" t="s">
        <v>36</v>
      </c>
      <c r="N4" s="21">
        <v>40000</v>
      </c>
      <c r="P4" s="22" t="s">
        <v>27</v>
      </c>
      <c r="Q4" s="22">
        <v>50000</v>
      </c>
      <c r="R4" s="22">
        <v>60000</v>
      </c>
      <c r="S4" s="22">
        <v>40000</v>
      </c>
      <c r="T4" s="22">
        <v>30000</v>
      </c>
      <c r="U4" s="22">
        <v>100000</v>
      </c>
      <c r="V4" s="22">
        <v>20000</v>
      </c>
    </row>
    <row r="5" spans="1:22" x14ac:dyDescent="0.3">
      <c r="A5" s="1">
        <v>110</v>
      </c>
      <c r="B5" s="1" t="s">
        <v>31</v>
      </c>
      <c r="C5" s="1" t="s">
        <v>37</v>
      </c>
      <c r="D5" s="1">
        <v>30000</v>
      </c>
      <c r="F5" s="18">
        <v>110</v>
      </c>
      <c r="G5" s="18" t="s">
        <v>31</v>
      </c>
      <c r="H5" s="18" t="s">
        <v>37</v>
      </c>
      <c r="I5" s="18">
        <v>30000</v>
      </c>
      <c r="K5" s="21">
        <v>110</v>
      </c>
      <c r="L5" s="21" t="s">
        <v>31</v>
      </c>
      <c r="M5" s="21" t="s">
        <v>37</v>
      </c>
      <c r="N5" s="21">
        <v>30000</v>
      </c>
      <c r="P5" s="22"/>
      <c r="Q5" s="22"/>
      <c r="R5" s="22"/>
      <c r="S5" s="22"/>
      <c r="T5" s="22"/>
      <c r="U5" s="22"/>
      <c r="V5" s="22"/>
    </row>
    <row r="6" spans="1:22" x14ac:dyDescent="0.3">
      <c r="A6" s="1">
        <v>63</v>
      </c>
      <c r="B6" s="1" t="s">
        <v>32</v>
      </c>
      <c r="C6" s="1" t="s">
        <v>39</v>
      </c>
      <c r="D6" s="1">
        <v>100000</v>
      </c>
      <c r="F6" s="18">
        <v>63</v>
      </c>
      <c r="G6" s="18" t="s">
        <v>32</v>
      </c>
      <c r="H6" s="18" t="s">
        <v>39</v>
      </c>
      <c r="I6" s="18">
        <v>100000</v>
      </c>
      <c r="K6" s="21">
        <v>63</v>
      </c>
      <c r="L6" s="21" t="s">
        <v>32</v>
      </c>
      <c r="M6" s="21" t="s">
        <v>39</v>
      </c>
      <c r="N6" s="21">
        <v>100000</v>
      </c>
      <c r="P6" s="22" t="s">
        <v>24</v>
      </c>
      <c r="Q6" s="22">
        <v>121</v>
      </c>
      <c r="R6" s="22"/>
      <c r="S6" s="22"/>
      <c r="T6" s="22"/>
      <c r="U6" s="22"/>
      <c r="V6" s="22"/>
    </row>
    <row r="7" spans="1:22" x14ac:dyDescent="0.3">
      <c r="A7" s="1">
        <v>32</v>
      </c>
      <c r="B7" s="1" t="s">
        <v>33</v>
      </c>
      <c r="C7" s="1" t="s">
        <v>38</v>
      </c>
      <c r="D7" s="1">
        <v>20000</v>
      </c>
      <c r="F7" s="18">
        <v>32</v>
      </c>
      <c r="G7" s="18" t="s">
        <v>33</v>
      </c>
      <c r="H7" s="18" t="s">
        <v>38</v>
      </c>
      <c r="I7" s="18">
        <v>20000</v>
      </c>
      <c r="K7" s="21">
        <v>32</v>
      </c>
      <c r="L7" s="21" t="s">
        <v>33</v>
      </c>
      <c r="M7" s="21" t="s">
        <v>38</v>
      </c>
      <c r="N7" s="21">
        <v>20000</v>
      </c>
      <c r="P7" s="22" t="s">
        <v>25</v>
      </c>
      <c r="Q7" s="22" t="str" cm="1">
        <f t="array" ref="Q7:Q9">_xlfn.XLOOKUP(Q6,P1:V1,P2:V4,"Not Found",0,1)</f>
        <v>jhon</v>
      </c>
      <c r="R7" s="22"/>
      <c r="S7" s="22"/>
      <c r="T7" s="22"/>
      <c r="U7" s="22"/>
      <c r="V7" s="22"/>
    </row>
    <row r="8" spans="1:22" x14ac:dyDescent="0.3">
      <c r="A8" s="1"/>
      <c r="B8" s="1"/>
      <c r="C8" s="1"/>
      <c r="D8" s="1"/>
      <c r="F8" s="18"/>
      <c r="G8" s="18"/>
      <c r="H8" s="18"/>
      <c r="I8" s="18"/>
      <c r="K8" s="21"/>
      <c r="L8" s="21"/>
      <c r="M8" s="21"/>
      <c r="N8" s="21"/>
      <c r="P8" s="22" t="s">
        <v>26</v>
      </c>
      <c r="Q8" s="22" t="str">
        <v>rane</v>
      </c>
      <c r="R8" s="22"/>
      <c r="S8" s="22"/>
      <c r="T8" s="22"/>
      <c r="U8" s="22"/>
      <c r="V8" s="22"/>
    </row>
    <row r="9" spans="1:22" x14ac:dyDescent="0.3">
      <c r="A9" s="1" t="s">
        <v>24</v>
      </c>
      <c r="B9" s="1">
        <v>110</v>
      </c>
      <c r="C9" s="17" t="s">
        <v>25</v>
      </c>
      <c r="D9" s="17" t="s">
        <v>62</v>
      </c>
      <c r="F9" s="19" t="s">
        <v>24</v>
      </c>
      <c r="G9" s="19">
        <v>85</v>
      </c>
      <c r="H9" s="20" t="s">
        <v>24</v>
      </c>
      <c r="I9" s="20">
        <v>85</v>
      </c>
      <c r="K9" s="21" t="s">
        <v>24</v>
      </c>
      <c r="L9" s="21" t="s">
        <v>25</v>
      </c>
      <c r="M9" s="21" t="s">
        <v>26</v>
      </c>
      <c r="N9" s="21" t="s">
        <v>27</v>
      </c>
      <c r="P9" s="22" t="s">
        <v>27</v>
      </c>
      <c r="Q9" s="22">
        <v>60000</v>
      </c>
      <c r="R9" s="22"/>
      <c r="S9" s="22"/>
      <c r="T9" s="22"/>
      <c r="U9" s="22"/>
      <c r="V9" s="22"/>
    </row>
    <row r="10" spans="1:22" x14ac:dyDescent="0.3">
      <c r="A10" s="1" t="s">
        <v>25</v>
      </c>
      <c r="B10" s="1" t="str">
        <f>_xlfn.XLOOKUP(B9,A1:A7,B1:B7,"Not Found",0,1)</f>
        <v>bark</v>
      </c>
      <c r="C10" s="17" t="s">
        <v>26</v>
      </c>
      <c r="D10" s="17" t="str">
        <f>_xlfn.XLOOKUP(D9,B1:B7,C1:C7,"Not Found",0,1)</f>
        <v>gawas</v>
      </c>
      <c r="F10" s="19" t="s">
        <v>25</v>
      </c>
      <c r="G10" s="19" t="str">
        <f>_xlfn.XLOOKUP(G9,F1:F7,G1:G7,,-1,1)</f>
        <v>king</v>
      </c>
      <c r="H10" s="20" t="s">
        <v>25</v>
      </c>
      <c r="I10" s="20" t="str">
        <f>_xlfn.XLOOKUP(I9,F1:F7,G1:G7,,1,1)</f>
        <v>smith</v>
      </c>
      <c r="K10" s="21">
        <v>110</v>
      </c>
      <c r="L10" s="21" t="str" cm="1">
        <f t="array" ref="L10:N10">_xlfn.XLOOKUP(K10,K1:K7,L1:N7,"Not Found",0,1)</f>
        <v>bark</v>
      </c>
      <c r="M10" s="21" t="str">
        <v>ghag</v>
      </c>
      <c r="N10" s="21">
        <v>30000</v>
      </c>
    </row>
    <row r="11" spans="1:22" x14ac:dyDescent="0.3">
      <c r="A11" s="1" t="s">
        <v>26</v>
      </c>
      <c r="B11" s="1" t="str">
        <f>_xlfn.XLOOKUP(B9,A1:A7,C1:C7,"Not found",0,1)</f>
        <v>ghag</v>
      </c>
      <c r="C11" s="17" t="s">
        <v>24</v>
      </c>
      <c r="D11" s="17">
        <f>_xlfn.XLOOKUP(D9,B1:B7,A1:A7,"Not Found",0,1)</f>
        <v>56</v>
      </c>
    </row>
    <row r="12" spans="1:22" x14ac:dyDescent="0.3">
      <c r="A12" s="1" t="s">
        <v>27</v>
      </c>
      <c r="B12" s="1">
        <f>_xlfn.XLOOKUP(B9,A1:A7,D1:D7,"Not Found",0,1)</f>
        <v>30000</v>
      </c>
      <c r="C12" s="17"/>
      <c r="D12" s="17"/>
    </row>
    <row r="14" spans="1:22" x14ac:dyDescent="0.3">
      <c r="A14" s="5" t="s">
        <v>24</v>
      </c>
      <c r="B14" s="5" t="s">
        <v>25</v>
      </c>
      <c r="C14" s="5" t="s">
        <v>26</v>
      </c>
      <c r="D14" s="5" t="s">
        <v>27</v>
      </c>
    </row>
    <row r="15" spans="1:22" x14ac:dyDescent="0.3">
      <c r="A15" s="5">
        <v>32</v>
      </c>
      <c r="B15" s="5" t="s">
        <v>33</v>
      </c>
      <c r="C15" s="5" t="s">
        <v>38</v>
      </c>
      <c r="D15" s="5">
        <v>20000</v>
      </c>
    </row>
    <row r="16" spans="1:22" x14ac:dyDescent="0.3">
      <c r="A16" s="5">
        <v>56</v>
      </c>
      <c r="B16" s="5" t="s">
        <v>30</v>
      </c>
      <c r="C16" s="5" t="s">
        <v>36</v>
      </c>
      <c r="D16" s="5">
        <v>40000</v>
      </c>
    </row>
    <row r="17" spans="1:4" x14ac:dyDescent="0.3">
      <c r="A17" s="5">
        <v>101</v>
      </c>
      <c r="B17" s="5" t="s">
        <v>28</v>
      </c>
      <c r="C17" s="5" t="s">
        <v>34</v>
      </c>
      <c r="D17" s="5">
        <v>50000</v>
      </c>
    </row>
    <row r="18" spans="1:4" x14ac:dyDescent="0.3">
      <c r="A18" s="5">
        <v>110</v>
      </c>
      <c r="B18" s="5" t="s">
        <v>31</v>
      </c>
      <c r="C18" s="5" t="s">
        <v>37</v>
      </c>
      <c r="D18" s="5">
        <v>30000</v>
      </c>
    </row>
    <row r="19" spans="1:4" x14ac:dyDescent="0.3">
      <c r="A19" s="5">
        <v>121</v>
      </c>
      <c r="B19" s="5" t="s">
        <v>29</v>
      </c>
      <c r="C19" s="5" t="s">
        <v>35</v>
      </c>
      <c r="D19" s="5">
        <v>60000</v>
      </c>
    </row>
    <row r="20" spans="1:4" x14ac:dyDescent="0.3">
      <c r="A20" s="5">
        <v>56</v>
      </c>
      <c r="B20" s="5" t="s">
        <v>30</v>
      </c>
      <c r="C20" s="5" t="s">
        <v>40</v>
      </c>
      <c r="D20" s="5">
        <v>50000</v>
      </c>
    </row>
    <row r="21" spans="1:4" x14ac:dyDescent="0.3">
      <c r="A21" s="5" t="s">
        <v>24</v>
      </c>
      <c r="B21" s="5">
        <v>56</v>
      </c>
      <c r="C21" s="5"/>
      <c r="D21" s="5"/>
    </row>
    <row r="22" spans="1:4" x14ac:dyDescent="0.3">
      <c r="A22" s="5" t="s">
        <v>25</v>
      </c>
      <c r="B22" s="5" t="str">
        <f>_xlfn.XLOOKUP(B21,A14:A20,B14:B20,"Not Found",0,-1)</f>
        <v>clark</v>
      </c>
      <c r="C22" s="5"/>
      <c r="D22" s="5"/>
    </row>
    <row r="23" spans="1:4" x14ac:dyDescent="0.3">
      <c r="A23" s="5" t="s">
        <v>26</v>
      </c>
      <c r="B23" s="5" t="str">
        <f>_xlfn.XLOOKUP(B21,A14:A20,C14:C20,"Not Found",0,-1)</f>
        <v>sawal</v>
      </c>
      <c r="C23" s="5"/>
      <c r="D23" s="5"/>
    </row>
    <row r="24" spans="1:4" x14ac:dyDescent="0.3">
      <c r="A24" s="5" t="s">
        <v>27</v>
      </c>
      <c r="B24" s="5">
        <f>_xlfn.XLOOKUP(B21,A14:A20,D14:D20,"Not Found",0,-1)</f>
        <v>50000</v>
      </c>
      <c r="C24" s="5"/>
      <c r="D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A250-CFC9-46FF-A869-0C16001CC3F0}">
  <dimension ref="A1:Q26"/>
  <sheetViews>
    <sheetView workbookViewId="0">
      <selection activeCell="F1" sqref="F1:I13"/>
    </sheetView>
  </sheetViews>
  <sheetFormatPr defaultRowHeight="14.4" x14ac:dyDescent="0.3"/>
  <sheetData>
    <row r="1" spans="1:17" x14ac:dyDescent="0.3">
      <c r="A1" s="1" t="s">
        <v>24</v>
      </c>
      <c r="B1" s="1" t="s">
        <v>25</v>
      </c>
      <c r="C1" s="1" t="s">
        <v>26</v>
      </c>
      <c r="D1" s="1" t="s">
        <v>27</v>
      </c>
      <c r="F1" s="5" t="s">
        <v>63</v>
      </c>
      <c r="G1" s="5" t="s">
        <v>77</v>
      </c>
      <c r="H1" s="5" t="s">
        <v>76</v>
      </c>
      <c r="I1" s="5" t="s">
        <v>78</v>
      </c>
      <c r="J1" s="5"/>
      <c r="K1" s="5" t="s">
        <v>63</v>
      </c>
      <c r="L1" s="5" t="s">
        <v>70</v>
      </c>
      <c r="N1" s="13" t="s">
        <v>24</v>
      </c>
      <c r="O1" s="13" t="s">
        <v>25</v>
      </c>
      <c r="P1" s="13" t="s">
        <v>26</v>
      </c>
      <c r="Q1" s="13" t="s">
        <v>27</v>
      </c>
    </row>
    <row r="2" spans="1:17" x14ac:dyDescent="0.3">
      <c r="A2" s="1">
        <v>101</v>
      </c>
      <c r="B2" s="1" t="s">
        <v>28</v>
      </c>
      <c r="C2" s="1" t="s">
        <v>34</v>
      </c>
      <c r="D2" s="1">
        <v>50000</v>
      </c>
      <c r="F2" s="5" t="s">
        <v>64</v>
      </c>
      <c r="G2" s="5">
        <v>400</v>
      </c>
      <c r="H2" s="5">
        <v>560</v>
      </c>
      <c r="I2" s="5">
        <v>330</v>
      </c>
      <c r="J2" s="5"/>
      <c r="K2" s="5" t="s">
        <v>79</v>
      </c>
      <c r="L2" s="5" t="s">
        <v>78</v>
      </c>
      <c r="N2" s="13">
        <v>32</v>
      </c>
      <c r="O2" s="13" t="s">
        <v>33</v>
      </c>
      <c r="P2" s="13" t="s">
        <v>38</v>
      </c>
      <c r="Q2" s="13">
        <v>20000</v>
      </c>
    </row>
    <row r="3" spans="1:17" x14ac:dyDescent="0.3">
      <c r="A3" s="1">
        <v>121</v>
      </c>
      <c r="B3" s="1" t="s">
        <v>29</v>
      </c>
      <c r="C3" s="1" t="s">
        <v>35</v>
      </c>
      <c r="D3" s="1">
        <v>60000</v>
      </c>
      <c r="F3" s="5" t="s">
        <v>65</v>
      </c>
      <c r="G3" s="5">
        <v>500</v>
      </c>
      <c r="H3" s="5">
        <v>875</v>
      </c>
      <c r="I3" s="5">
        <v>110</v>
      </c>
      <c r="J3" s="5"/>
      <c r="K3" s="5" t="s">
        <v>80</v>
      </c>
      <c r="L3" s="5">
        <f>INDEX(G1:I13,MATCH(L1,F1:F13,0),MATCH(L2,G1:I1,0))</f>
        <v>630</v>
      </c>
      <c r="N3" s="13">
        <v>56</v>
      </c>
      <c r="O3" s="13" t="s">
        <v>30</v>
      </c>
      <c r="P3" s="13" t="s">
        <v>36</v>
      </c>
      <c r="Q3" s="13">
        <v>40000</v>
      </c>
    </row>
    <row r="4" spans="1:17" x14ac:dyDescent="0.3">
      <c r="A4" s="1">
        <v>56</v>
      </c>
      <c r="B4" s="1" t="s">
        <v>30</v>
      </c>
      <c r="C4" s="1" t="s">
        <v>36</v>
      </c>
      <c r="D4" s="1">
        <v>40000</v>
      </c>
      <c r="F4" s="5" t="s">
        <v>66</v>
      </c>
      <c r="G4" s="5">
        <v>600</v>
      </c>
      <c r="H4" s="5">
        <v>655</v>
      </c>
      <c r="I4" s="5">
        <v>410</v>
      </c>
      <c r="J4" s="5"/>
      <c r="K4" s="5"/>
      <c r="L4" s="5"/>
      <c r="N4" s="13">
        <v>101</v>
      </c>
      <c r="O4" s="13" t="s">
        <v>28</v>
      </c>
      <c r="P4" s="13" t="s">
        <v>34</v>
      </c>
      <c r="Q4" s="13">
        <v>50000</v>
      </c>
    </row>
    <row r="5" spans="1:17" x14ac:dyDescent="0.3">
      <c r="A5" s="1">
        <v>110</v>
      </c>
      <c r="B5" s="1" t="s">
        <v>31</v>
      </c>
      <c r="C5" s="1" t="s">
        <v>37</v>
      </c>
      <c r="D5" s="1">
        <v>30000</v>
      </c>
      <c r="F5" s="5" t="s">
        <v>67</v>
      </c>
      <c r="G5" s="5">
        <v>250</v>
      </c>
      <c r="H5" s="5">
        <v>540</v>
      </c>
      <c r="I5" s="5">
        <v>520</v>
      </c>
      <c r="J5" s="5"/>
      <c r="K5" s="5"/>
      <c r="L5" s="5"/>
      <c r="N5" s="13">
        <v>110</v>
      </c>
      <c r="O5" s="13" t="s">
        <v>31</v>
      </c>
      <c r="P5" s="13" t="s">
        <v>37</v>
      </c>
      <c r="Q5" s="13">
        <v>30000</v>
      </c>
    </row>
    <row r="6" spans="1:17" x14ac:dyDescent="0.3">
      <c r="A6" s="1">
        <v>63</v>
      </c>
      <c r="B6" s="1" t="s">
        <v>32</v>
      </c>
      <c r="C6" s="1" t="s">
        <v>39</v>
      </c>
      <c r="D6" s="1">
        <v>100000</v>
      </c>
      <c r="F6" s="5" t="s">
        <v>68</v>
      </c>
      <c r="G6" s="5">
        <v>350</v>
      </c>
      <c r="H6" s="5">
        <v>650</v>
      </c>
      <c r="I6" s="5">
        <v>850</v>
      </c>
      <c r="J6" s="5"/>
      <c r="K6" s="5"/>
      <c r="L6" s="5"/>
      <c r="N6" s="13">
        <v>121</v>
      </c>
      <c r="O6" s="13" t="s">
        <v>29</v>
      </c>
      <c r="P6" s="13" t="s">
        <v>35</v>
      </c>
      <c r="Q6" s="13">
        <v>60000</v>
      </c>
    </row>
    <row r="7" spans="1:17" x14ac:dyDescent="0.3">
      <c r="A7" s="1">
        <v>32</v>
      </c>
      <c r="B7" s="1" t="s">
        <v>33</v>
      </c>
      <c r="C7" s="1" t="s">
        <v>38</v>
      </c>
      <c r="D7" s="1">
        <v>20000</v>
      </c>
      <c r="F7" s="5" t="s">
        <v>69</v>
      </c>
      <c r="G7" s="5">
        <v>650</v>
      </c>
      <c r="H7" s="5">
        <v>950</v>
      </c>
      <c r="I7" s="5">
        <v>960</v>
      </c>
      <c r="J7" s="5"/>
      <c r="K7" s="8" t="s">
        <v>80</v>
      </c>
      <c r="L7" s="8" cm="1">
        <f t="array" ref="L7">_xlfn.XLOOKUP(L1,F2:F13,_xlfn.XLOOKUP(L2,G1:I1,G2:I13))</f>
        <v>630</v>
      </c>
      <c r="N7" s="13">
        <v>56</v>
      </c>
      <c r="O7" s="13" t="s">
        <v>62</v>
      </c>
      <c r="P7" s="13" t="s">
        <v>40</v>
      </c>
      <c r="Q7" s="13">
        <v>50000</v>
      </c>
    </row>
    <row r="8" spans="1:17" x14ac:dyDescent="0.3">
      <c r="A8" s="1"/>
      <c r="B8" s="1"/>
      <c r="C8" s="1"/>
      <c r="D8" s="1"/>
      <c r="F8" s="5" t="s">
        <v>70</v>
      </c>
      <c r="G8" s="5">
        <v>900</v>
      </c>
      <c r="H8" s="5">
        <v>340</v>
      </c>
      <c r="I8" s="5">
        <v>630</v>
      </c>
      <c r="J8" s="5"/>
      <c r="K8" s="5"/>
      <c r="L8" s="5"/>
      <c r="N8" s="13"/>
      <c r="O8" s="13"/>
      <c r="P8" s="13"/>
      <c r="Q8" s="13"/>
    </row>
    <row r="9" spans="1:17" x14ac:dyDescent="0.3">
      <c r="A9" s="1" t="s">
        <v>24</v>
      </c>
      <c r="B9" s="1">
        <v>56</v>
      </c>
      <c r="C9" s="1"/>
      <c r="D9" s="1"/>
      <c r="F9" s="5" t="s">
        <v>71</v>
      </c>
      <c r="G9" s="5">
        <v>400</v>
      </c>
      <c r="H9" s="5">
        <v>680</v>
      </c>
      <c r="I9" s="5">
        <v>410</v>
      </c>
      <c r="J9" s="5"/>
      <c r="K9" s="5"/>
      <c r="L9" s="5"/>
      <c r="N9" s="13" t="s">
        <v>25</v>
      </c>
      <c r="O9" s="13" t="s">
        <v>62</v>
      </c>
      <c r="P9" s="13"/>
      <c r="Q9" s="13"/>
    </row>
    <row r="10" spans="1:17" x14ac:dyDescent="0.3">
      <c r="A10" s="1" t="s">
        <v>25</v>
      </c>
      <c r="B10" s="1" t="str">
        <f>INDEX(B1:B7,MATCH(B9,A1:A7,0))</f>
        <v>clark</v>
      </c>
      <c r="C10" s="1"/>
      <c r="D10" s="1"/>
      <c r="F10" s="5" t="s">
        <v>72</v>
      </c>
      <c r="G10" s="5">
        <v>500</v>
      </c>
      <c r="H10" s="5">
        <v>570</v>
      </c>
      <c r="I10" s="5">
        <v>750</v>
      </c>
      <c r="J10" s="5"/>
      <c r="K10" s="5"/>
      <c r="L10" s="5"/>
      <c r="N10" s="13" t="s">
        <v>24</v>
      </c>
      <c r="O10" s="13" cm="1">
        <f t="array" ref="O10">INDEX(N2:N7,MATCH(TRUE,EXACT(O9,O2:O7),0))</f>
        <v>56</v>
      </c>
      <c r="P10" s="8">
        <v>40</v>
      </c>
      <c r="Q10" s="8"/>
    </row>
    <row r="11" spans="1:17" x14ac:dyDescent="0.3">
      <c r="A11" s="1" t="s">
        <v>26</v>
      </c>
      <c r="B11" s="1" t="str">
        <f>INDEX(C1:C7,MATCH(B9,A1:A7,0))</f>
        <v>gawas</v>
      </c>
      <c r="C11" s="1"/>
      <c r="D11" s="1"/>
      <c r="F11" s="5" t="s">
        <v>73</v>
      </c>
      <c r="G11" s="5">
        <v>550</v>
      </c>
      <c r="H11" s="5">
        <v>890</v>
      </c>
      <c r="I11" s="5">
        <v>250</v>
      </c>
      <c r="J11" s="5"/>
      <c r="K11" s="5"/>
      <c r="L11" s="5"/>
      <c r="N11" s="13" t="s">
        <v>26</v>
      </c>
      <c r="O11" s="13" t="str" cm="1">
        <f t="array" ref="O11">INDEX(P2:P7,MATCH(TRUE,EXACT(O9,O2:O7),0))</f>
        <v>sawal</v>
      </c>
      <c r="P11" s="8"/>
      <c r="Q11" s="8"/>
    </row>
    <row r="12" spans="1:17" x14ac:dyDescent="0.3">
      <c r="A12" s="1" t="s">
        <v>27</v>
      </c>
      <c r="B12" s="1">
        <f>INDEX(D1:D7,MATCH(B9,A1:A7,0))</f>
        <v>40000</v>
      </c>
      <c r="C12" s="1"/>
      <c r="D12" s="8" cm="1">
        <f t="array" ref="D12">INDEX(D2:D7,MATCH(B10&amp;B11,B2:B7&amp;C2:C7,0))</f>
        <v>40000</v>
      </c>
      <c r="F12" s="5" t="s">
        <v>74</v>
      </c>
      <c r="G12" s="5">
        <v>420</v>
      </c>
      <c r="H12" s="5">
        <v>860</v>
      </c>
      <c r="I12" s="5">
        <v>350</v>
      </c>
      <c r="J12" s="5"/>
      <c r="K12" s="5"/>
      <c r="L12" s="5"/>
      <c r="N12" s="13" t="s">
        <v>27</v>
      </c>
      <c r="O12" s="13" cm="1">
        <f t="array" ref="O12">INDEX(Q2:Q7,MATCH(TRUE,EXACT(O9,O2:O7),0))</f>
        <v>50000</v>
      </c>
      <c r="P12" s="8"/>
      <c r="Q12" s="8" cm="1">
        <f t="array" ref="Q12">INDEX(Q2:Q7,MATCH(MIN(ABS(N2:N7-P10)),ABS(N2:N7-P10),0))</f>
        <v>20000</v>
      </c>
    </row>
    <row r="13" spans="1:17" x14ac:dyDescent="0.3">
      <c r="F13" s="5" t="s">
        <v>75</v>
      </c>
      <c r="G13" s="5">
        <v>320</v>
      </c>
      <c r="H13" s="5">
        <v>880</v>
      </c>
      <c r="I13" s="5">
        <v>260</v>
      </c>
      <c r="J13" s="5"/>
      <c r="K13" s="5"/>
      <c r="L13" s="5"/>
    </row>
    <row r="16" spans="1:17" x14ac:dyDescent="0.3">
      <c r="A16" s="10" t="s">
        <v>81</v>
      </c>
      <c r="B16" s="10" t="s">
        <v>82</v>
      </c>
      <c r="C16" s="10" t="s">
        <v>24</v>
      </c>
      <c r="D16" s="10"/>
      <c r="E16" s="10" t="s">
        <v>24</v>
      </c>
      <c r="F16" s="10" t="s">
        <v>81</v>
      </c>
      <c r="G16" s="10" t="s">
        <v>82</v>
      </c>
    </row>
    <row r="17" spans="1:7" x14ac:dyDescent="0.3">
      <c r="A17" s="10" t="s">
        <v>83</v>
      </c>
      <c r="B17" s="10" t="s">
        <v>87</v>
      </c>
      <c r="C17" s="10">
        <v>101</v>
      </c>
      <c r="D17" s="10"/>
      <c r="E17" s="10">
        <v>101</v>
      </c>
      <c r="F17" s="10" t="str">
        <f>INDEX($A$17:$A$20,MATCH(E17,$C$17:$C$20,0))</f>
        <v>Laptop</v>
      </c>
      <c r="G17" s="10" t="str">
        <f>INDEX($B$17:$B$20,MATCH(E17,$C$17:$C$20,0))</f>
        <v>Dell</v>
      </c>
    </row>
    <row r="18" spans="1:7" x14ac:dyDescent="0.3">
      <c r="A18" s="10" t="s">
        <v>84</v>
      </c>
      <c r="B18" s="10" t="s">
        <v>88</v>
      </c>
      <c r="C18" s="10">
        <v>102</v>
      </c>
      <c r="D18" s="10"/>
      <c r="E18" s="10">
        <v>104</v>
      </c>
      <c r="F18" s="10" t="str">
        <f t="shared" ref="F18:F26" si="0">INDEX($A$17:$A$20,MATCH(E18,$C$17:$C$20,0))</f>
        <v>Keyboard</v>
      </c>
      <c r="G18" s="10" t="str">
        <f t="shared" ref="G18:G26" si="1">INDEX($B$17:$B$20,MATCH(E18,$C$17:$C$20,0))</f>
        <v>Acer</v>
      </c>
    </row>
    <row r="19" spans="1:7" x14ac:dyDescent="0.3">
      <c r="A19" s="10" t="s">
        <v>85</v>
      </c>
      <c r="B19" s="10" t="s">
        <v>89</v>
      </c>
      <c r="C19" s="10">
        <v>103</v>
      </c>
      <c r="D19" s="10"/>
      <c r="E19" s="10">
        <v>102</v>
      </c>
      <c r="F19" s="10" t="str">
        <f t="shared" si="0"/>
        <v>Printer</v>
      </c>
      <c r="G19" s="10" t="str">
        <f t="shared" si="1"/>
        <v>HP</v>
      </c>
    </row>
    <row r="20" spans="1:7" x14ac:dyDescent="0.3">
      <c r="A20" s="10" t="s">
        <v>86</v>
      </c>
      <c r="B20" s="10" t="s">
        <v>90</v>
      </c>
      <c r="C20" s="10">
        <v>104</v>
      </c>
      <c r="D20" s="10"/>
      <c r="E20" s="10">
        <v>103</v>
      </c>
      <c r="F20" s="10" t="str">
        <f t="shared" si="0"/>
        <v>Mouse</v>
      </c>
      <c r="G20" s="10" t="str">
        <f t="shared" si="1"/>
        <v>Lenovo</v>
      </c>
    </row>
    <row r="21" spans="1:7" x14ac:dyDescent="0.3">
      <c r="A21" s="10"/>
      <c r="B21" s="10"/>
      <c r="C21" s="10"/>
      <c r="D21" s="10"/>
      <c r="E21" s="10">
        <v>101</v>
      </c>
      <c r="F21" s="10" t="str">
        <f t="shared" si="0"/>
        <v>Laptop</v>
      </c>
      <c r="G21" s="10" t="str">
        <f t="shared" si="1"/>
        <v>Dell</v>
      </c>
    </row>
    <row r="22" spans="1:7" x14ac:dyDescent="0.3">
      <c r="A22" s="10"/>
      <c r="B22" s="10"/>
      <c r="C22" s="10"/>
      <c r="D22" s="10"/>
      <c r="E22" s="10">
        <v>104</v>
      </c>
      <c r="F22" s="10" t="str">
        <f t="shared" si="0"/>
        <v>Keyboard</v>
      </c>
      <c r="G22" s="10" t="str">
        <f t="shared" si="1"/>
        <v>Acer</v>
      </c>
    </row>
    <row r="23" spans="1:7" x14ac:dyDescent="0.3">
      <c r="A23" s="10"/>
      <c r="B23" s="10"/>
      <c r="C23" s="10"/>
      <c r="D23" s="10"/>
      <c r="E23" s="10">
        <v>103</v>
      </c>
      <c r="F23" s="10" t="str">
        <f t="shared" si="0"/>
        <v>Mouse</v>
      </c>
      <c r="G23" s="10" t="str">
        <f t="shared" si="1"/>
        <v>Lenovo</v>
      </c>
    </row>
    <row r="24" spans="1:7" x14ac:dyDescent="0.3">
      <c r="A24" s="10"/>
      <c r="B24" s="10"/>
      <c r="C24" s="10"/>
      <c r="D24" s="10"/>
      <c r="E24" s="10">
        <v>102</v>
      </c>
      <c r="F24" s="10" t="str">
        <f t="shared" si="0"/>
        <v>Printer</v>
      </c>
      <c r="G24" s="10" t="str">
        <f t="shared" si="1"/>
        <v>HP</v>
      </c>
    </row>
    <row r="25" spans="1:7" x14ac:dyDescent="0.3">
      <c r="A25" s="10"/>
      <c r="B25" s="10"/>
      <c r="C25" s="10"/>
      <c r="D25" s="10"/>
      <c r="E25" s="10">
        <v>104</v>
      </c>
      <c r="F25" s="10" t="str">
        <f t="shared" si="0"/>
        <v>Keyboard</v>
      </c>
      <c r="G25" s="10" t="str">
        <f t="shared" si="1"/>
        <v>Acer</v>
      </c>
    </row>
    <row r="26" spans="1:7" x14ac:dyDescent="0.3">
      <c r="A26" s="10"/>
      <c r="B26" s="10"/>
      <c r="C26" s="10"/>
      <c r="D26" s="10"/>
      <c r="E26" s="10">
        <v>101</v>
      </c>
      <c r="F26" s="10" t="str">
        <f t="shared" si="0"/>
        <v>Laptop</v>
      </c>
      <c r="G26" s="10" t="str">
        <f t="shared" si="1"/>
        <v>Dell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15B7-23C2-4B74-B1D5-8C120949B0EE}">
  <dimension ref="A1:N19"/>
  <sheetViews>
    <sheetView workbookViewId="0">
      <selection activeCell="N13" sqref="K1:N13"/>
    </sheetView>
  </sheetViews>
  <sheetFormatPr defaultRowHeight="14.4" x14ac:dyDescent="0.3"/>
  <sheetData>
    <row r="1" spans="1:14" x14ac:dyDescent="0.3">
      <c r="A1" s="1" t="s">
        <v>63</v>
      </c>
      <c r="B1" s="1" t="s">
        <v>77</v>
      </c>
      <c r="C1" s="1" t="s">
        <v>76</v>
      </c>
      <c r="D1" s="1" t="s">
        <v>78</v>
      </c>
      <c r="F1" s="5" t="s">
        <v>63</v>
      </c>
      <c r="G1" s="5" t="s">
        <v>77</v>
      </c>
      <c r="H1" s="5" t="s">
        <v>76</v>
      </c>
      <c r="I1" s="5" t="s">
        <v>78</v>
      </c>
      <c r="K1" s="21" t="s">
        <v>63</v>
      </c>
      <c r="L1" s="21" t="s">
        <v>77</v>
      </c>
      <c r="M1" s="21" t="s">
        <v>76</v>
      </c>
      <c r="N1" s="21" t="s">
        <v>78</v>
      </c>
    </row>
    <row r="2" spans="1:14" x14ac:dyDescent="0.3">
      <c r="A2" s="1" t="s">
        <v>64</v>
      </c>
      <c r="B2" s="1">
        <v>400</v>
      </c>
      <c r="C2" s="1">
        <v>560</v>
      </c>
      <c r="D2" s="1">
        <v>330</v>
      </c>
      <c r="F2" s="5" t="s">
        <v>64</v>
      </c>
      <c r="G2" s="5">
        <v>400</v>
      </c>
      <c r="H2" s="5">
        <v>560</v>
      </c>
      <c r="I2" s="5">
        <v>330</v>
      </c>
      <c r="K2" s="21" t="s">
        <v>64</v>
      </c>
      <c r="L2" s="21">
        <v>400</v>
      </c>
      <c r="M2" s="21">
        <v>560</v>
      </c>
      <c r="N2" s="21">
        <v>330</v>
      </c>
    </row>
    <row r="3" spans="1:14" x14ac:dyDescent="0.3">
      <c r="A3" s="1" t="s">
        <v>65</v>
      </c>
      <c r="B3" s="1">
        <v>500</v>
      </c>
      <c r="C3" s="1">
        <v>875</v>
      </c>
      <c r="D3" s="1">
        <v>110</v>
      </c>
      <c r="F3" s="5" t="s">
        <v>65</v>
      </c>
      <c r="G3" s="5">
        <v>500</v>
      </c>
      <c r="H3" s="5">
        <v>875</v>
      </c>
      <c r="I3" s="5">
        <v>110</v>
      </c>
      <c r="K3" s="21" t="s">
        <v>65</v>
      </c>
      <c r="L3" s="21">
        <v>500</v>
      </c>
      <c r="M3" s="21">
        <v>875</v>
      </c>
      <c r="N3" s="21">
        <v>110</v>
      </c>
    </row>
    <row r="4" spans="1:14" x14ac:dyDescent="0.3">
      <c r="A4" s="1" t="s">
        <v>66</v>
      </c>
      <c r="B4" s="1">
        <v>600</v>
      </c>
      <c r="C4" s="1">
        <v>655</v>
      </c>
      <c r="D4" s="1">
        <v>410</v>
      </c>
      <c r="F4" s="5" t="s">
        <v>66</v>
      </c>
      <c r="G4" s="5">
        <v>600</v>
      </c>
      <c r="H4" s="5">
        <v>655</v>
      </c>
      <c r="I4" s="5">
        <v>410</v>
      </c>
      <c r="K4" s="21" t="s">
        <v>66</v>
      </c>
      <c r="L4" s="21">
        <v>600</v>
      </c>
      <c r="M4" s="21">
        <v>655</v>
      </c>
      <c r="N4" s="21">
        <v>410</v>
      </c>
    </row>
    <row r="5" spans="1:14" x14ac:dyDescent="0.3">
      <c r="A5" s="1" t="s">
        <v>67</v>
      </c>
      <c r="B5" s="1">
        <v>250</v>
      </c>
      <c r="C5" s="1">
        <v>540</v>
      </c>
      <c r="D5" s="1">
        <v>520</v>
      </c>
      <c r="F5" s="5" t="s">
        <v>67</v>
      </c>
      <c r="G5" s="5">
        <v>250</v>
      </c>
      <c r="H5" s="5">
        <v>540</v>
      </c>
      <c r="I5" s="5">
        <v>520</v>
      </c>
      <c r="K5" s="21" t="s">
        <v>67</v>
      </c>
      <c r="L5" s="21">
        <v>250</v>
      </c>
      <c r="M5" s="21">
        <v>540</v>
      </c>
      <c r="N5" s="21">
        <v>520</v>
      </c>
    </row>
    <row r="6" spans="1:14" x14ac:dyDescent="0.3">
      <c r="A6" s="1" t="s">
        <v>68</v>
      </c>
      <c r="B6" s="1">
        <v>350</v>
      </c>
      <c r="C6" s="1">
        <v>650</v>
      </c>
      <c r="D6" s="1">
        <v>850</v>
      </c>
      <c r="F6" s="5" t="s">
        <v>68</v>
      </c>
      <c r="G6" s="5">
        <v>350</v>
      </c>
      <c r="H6" s="5">
        <v>650</v>
      </c>
      <c r="I6" s="5">
        <v>850</v>
      </c>
      <c r="K6" s="21" t="s">
        <v>68</v>
      </c>
      <c r="L6" s="21">
        <v>350</v>
      </c>
      <c r="M6" s="21">
        <v>650</v>
      </c>
      <c r="N6" s="21">
        <v>850</v>
      </c>
    </row>
    <row r="7" spans="1:14" x14ac:dyDescent="0.3">
      <c r="A7" s="1" t="s">
        <v>69</v>
      </c>
      <c r="B7" s="1">
        <v>650</v>
      </c>
      <c r="C7" s="1">
        <v>950</v>
      </c>
      <c r="D7" s="1">
        <v>960</v>
      </c>
      <c r="F7" s="5" t="s">
        <v>69</v>
      </c>
      <c r="G7" s="5">
        <v>650</v>
      </c>
      <c r="H7" s="5">
        <v>950</v>
      </c>
      <c r="I7" s="5">
        <v>960</v>
      </c>
      <c r="K7" s="21" t="s">
        <v>69</v>
      </c>
      <c r="L7" s="21">
        <v>650</v>
      </c>
      <c r="M7" s="21">
        <v>950</v>
      </c>
      <c r="N7" s="21">
        <v>960</v>
      </c>
    </row>
    <row r="8" spans="1:14" x14ac:dyDescent="0.3">
      <c r="A8" s="1" t="s">
        <v>70</v>
      </c>
      <c r="B8" s="1">
        <v>900</v>
      </c>
      <c r="C8" s="1">
        <v>340</v>
      </c>
      <c r="D8" s="1">
        <v>630</v>
      </c>
      <c r="F8" s="5" t="s">
        <v>70</v>
      </c>
      <c r="G8" s="5">
        <v>900</v>
      </c>
      <c r="H8" s="5">
        <v>340</v>
      </c>
      <c r="I8" s="5">
        <v>630</v>
      </c>
      <c r="K8" s="21" t="s">
        <v>70</v>
      </c>
      <c r="L8" s="21">
        <v>900</v>
      </c>
      <c r="M8" s="21">
        <v>340</v>
      </c>
      <c r="N8" s="21">
        <v>630</v>
      </c>
    </row>
    <row r="9" spans="1:14" x14ac:dyDescent="0.3">
      <c r="A9" s="1" t="s">
        <v>71</v>
      </c>
      <c r="B9" s="1">
        <v>400</v>
      </c>
      <c r="C9" s="1">
        <v>680</v>
      </c>
      <c r="D9" s="1">
        <v>410</v>
      </c>
      <c r="F9" s="5" t="s">
        <v>71</v>
      </c>
      <c r="G9" s="5">
        <v>400</v>
      </c>
      <c r="H9" s="5">
        <v>680</v>
      </c>
      <c r="I9" s="5">
        <v>410</v>
      </c>
      <c r="K9" s="21" t="s">
        <v>71</v>
      </c>
      <c r="L9" s="21">
        <v>400</v>
      </c>
      <c r="M9" s="21">
        <v>680</v>
      </c>
      <c r="N9" s="21">
        <v>410</v>
      </c>
    </row>
    <row r="10" spans="1:14" x14ac:dyDescent="0.3">
      <c r="A10" s="1" t="s">
        <v>72</v>
      </c>
      <c r="B10" s="1">
        <v>500</v>
      </c>
      <c r="C10" s="1">
        <v>570</v>
      </c>
      <c r="D10" s="1">
        <v>750</v>
      </c>
      <c r="F10" s="5" t="s">
        <v>72</v>
      </c>
      <c r="G10" s="5">
        <v>500</v>
      </c>
      <c r="H10" s="5">
        <v>570</v>
      </c>
      <c r="I10" s="5">
        <v>750</v>
      </c>
      <c r="K10" s="21" t="s">
        <v>72</v>
      </c>
      <c r="L10" s="21">
        <v>500</v>
      </c>
      <c r="M10" s="21">
        <v>570</v>
      </c>
      <c r="N10" s="21">
        <v>750</v>
      </c>
    </row>
    <row r="11" spans="1:14" x14ac:dyDescent="0.3">
      <c r="A11" s="1" t="s">
        <v>73</v>
      </c>
      <c r="B11" s="1">
        <v>550</v>
      </c>
      <c r="C11" s="1">
        <v>890</v>
      </c>
      <c r="D11" s="1">
        <v>250</v>
      </c>
      <c r="F11" s="5" t="s">
        <v>73</v>
      </c>
      <c r="G11" s="5">
        <v>550</v>
      </c>
      <c r="H11" s="5">
        <v>890</v>
      </c>
      <c r="I11" s="5">
        <v>250</v>
      </c>
      <c r="K11" s="21" t="s">
        <v>73</v>
      </c>
      <c r="L11" s="21">
        <v>550</v>
      </c>
      <c r="M11" s="21">
        <v>890</v>
      </c>
      <c r="N11" s="21">
        <v>250</v>
      </c>
    </row>
    <row r="12" spans="1:14" x14ac:dyDescent="0.3">
      <c r="A12" s="1" t="s">
        <v>74</v>
      </c>
      <c r="B12" s="1">
        <v>420</v>
      </c>
      <c r="C12" s="1">
        <v>860</v>
      </c>
      <c r="D12" s="1">
        <v>350</v>
      </c>
      <c r="F12" s="5" t="s">
        <v>74</v>
      </c>
      <c r="G12" s="5">
        <v>420</v>
      </c>
      <c r="H12" s="5">
        <v>860</v>
      </c>
      <c r="I12" s="5">
        <v>350</v>
      </c>
      <c r="K12" s="21" t="s">
        <v>74</v>
      </c>
      <c r="L12" s="21">
        <v>420</v>
      </c>
      <c r="M12" s="21">
        <v>860</v>
      </c>
      <c r="N12" s="21">
        <v>350</v>
      </c>
    </row>
    <row r="13" spans="1:14" x14ac:dyDescent="0.3">
      <c r="A13" s="1" t="s">
        <v>75</v>
      </c>
      <c r="B13" s="1">
        <v>320</v>
      </c>
      <c r="C13" s="1">
        <v>880</v>
      </c>
      <c r="D13" s="1">
        <v>260</v>
      </c>
      <c r="F13" s="5" t="s">
        <v>75</v>
      </c>
      <c r="G13" s="5">
        <v>320</v>
      </c>
      <c r="H13" s="5">
        <v>880</v>
      </c>
      <c r="I13" s="5">
        <v>260</v>
      </c>
      <c r="K13" s="21" t="s">
        <v>75</v>
      </c>
      <c r="L13" s="21">
        <v>320</v>
      </c>
      <c r="M13" s="21">
        <v>880</v>
      </c>
      <c r="N13" s="21">
        <v>260</v>
      </c>
    </row>
    <row r="14" spans="1:14" x14ac:dyDescent="0.3">
      <c r="A14" s="1"/>
      <c r="B14" s="1"/>
      <c r="C14" s="1"/>
      <c r="D14" s="1"/>
      <c r="F14" s="5"/>
      <c r="G14" s="5"/>
      <c r="H14" s="5"/>
      <c r="I14" s="5"/>
      <c r="K14" s="21"/>
      <c r="L14" s="21"/>
      <c r="M14" s="21"/>
      <c r="N14" s="21"/>
    </row>
    <row r="15" spans="1:14" x14ac:dyDescent="0.3">
      <c r="A15" s="1"/>
      <c r="B15" s="1"/>
      <c r="C15" s="1"/>
      <c r="D15" s="1"/>
      <c r="F15" s="5" t="s">
        <v>80</v>
      </c>
      <c r="G15" s="5" cm="1">
        <f t="array" ref="G15">feb strawberry</f>
        <v>110</v>
      </c>
      <c r="H15" s="5" t="s">
        <v>80</v>
      </c>
      <c r="I15" s="5" cm="1">
        <f t="array" ref="I15">may chocolate</f>
        <v>650</v>
      </c>
      <c r="K15" s="21" t="s">
        <v>63</v>
      </c>
      <c r="L15" s="21" t="s">
        <v>65</v>
      </c>
      <c r="M15" s="21" t="s">
        <v>75</v>
      </c>
      <c r="N15" s="21"/>
    </row>
    <row r="16" spans="1:14" x14ac:dyDescent="0.3">
      <c r="A16" s="1" t="s">
        <v>63</v>
      </c>
      <c r="B16" s="1" t="s">
        <v>75</v>
      </c>
      <c r="C16" s="1" t="s">
        <v>80</v>
      </c>
      <c r="D16" s="1" cm="1">
        <f t="array" ref="D16">_xlfn.XLOOKUP(B16,A2:A13,_xlfn.XLOOKUP(B17,B1:D1,B2:D13))</f>
        <v>260</v>
      </c>
      <c r="F16" s="5" t="s">
        <v>80</v>
      </c>
      <c r="G16" s="5" cm="1">
        <f t="array" ref="G16">jul vanilla</f>
        <v>900</v>
      </c>
      <c r="H16" s="5" t="s">
        <v>80</v>
      </c>
      <c r="I16" s="5" cm="1">
        <f t="array" ref="I16">sep chocolate</f>
        <v>570</v>
      </c>
      <c r="K16" s="21" t="s">
        <v>79</v>
      </c>
      <c r="L16" s="21" t="s">
        <v>76</v>
      </c>
      <c r="M16" s="21" t="s">
        <v>77</v>
      </c>
      <c r="N16" s="21"/>
    </row>
    <row r="17" spans="1:14" x14ac:dyDescent="0.3">
      <c r="A17" s="1" t="s">
        <v>79</v>
      </c>
      <c r="B17" s="1" t="s">
        <v>78</v>
      </c>
      <c r="C17" s="1"/>
      <c r="D17" s="1"/>
      <c r="F17" s="5" t="s">
        <v>80</v>
      </c>
      <c r="G17" s="5" cm="1">
        <f t="array" ref="G17">dec chocolate</f>
        <v>880</v>
      </c>
      <c r="H17" s="5" t="s">
        <v>80</v>
      </c>
      <c r="I17" s="5" cm="1">
        <f t="array" ref="I17">aug vanilla</f>
        <v>400</v>
      </c>
      <c r="K17" s="21" t="s">
        <v>80</v>
      </c>
      <c r="L17" s="21" cm="1">
        <f t="array" aca="1" ref="L17" ca="1">INDIRECT(L15) INDIRECT(L16)</f>
        <v>875</v>
      </c>
      <c r="M17" s="21"/>
      <c r="N17" s="21"/>
    </row>
    <row r="18" spans="1:14" x14ac:dyDescent="0.3">
      <c r="A18" s="1" t="s">
        <v>80</v>
      </c>
      <c r="B18" s="1">
        <f>INDEX(B2:D13,MATCH(B16,A2:A13,0),MATCH(B17,B1:D1,0))</f>
        <v>260</v>
      </c>
      <c r="C18" s="1"/>
      <c r="D18" s="1"/>
      <c r="F18" s="5" t="s">
        <v>80</v>
      </c>
      <c r="G18" s="5" cm="1">
        <f t="array" ref="G18">may strawberry</f>
        <v>850</v>
      </c>
      <c r="H18" s="5" t="s">
        <v>80</v>
      </c>
      <c r="I18" s="5" cm="1">
        <f t="array" ref="I18">nov strawberry</f>
        <v>350</v>
      </c>
      <c r="K18" s="21" t="s">
        <v>80</v>
      </c>
      <c r="L18" s="21" cm="1">
        <f t="array" aca="1" ref="L18" ca="1">INDIRECT(M15) INDIRECT(M16)</f>
        <v>320</v>
      </c>
      <c r="M18" s="21"/>
      <c r="N18" s="21"/>
    </row>
    <row r="19" spans="1:14" x14ac:dyDescent="0.3">
      <c r="K19" s="21"/>
      <c r="L19" s="21"/>
      <c r="M19" s="21"/>
      <c r="N19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A5A6-1B4B-40E3-BCBD-9D248AE5306A}">
  <dimension ref="A1:R10"/>
  <sheetViews>
    <sheetView workbookViewId="0">
      <selection activeCell="M17" sqref="M17"/>
    </sheetView>
  </sheetViews>
  <sheetFormatPr defaultRowHeight="14.4" x14ac:dyDescent="0.3"/>
  <sheetData>
    <row r="1" spans="1:18" x14ac:dyDescent="0.3">
      <c r="A1" s="21" cm="1">
        <f t="array" aca="1" ref="A1" ca="1">INDIRECT("B1")</f>
        <v>500</v>
      </c>
      <c r="B1" s="21">
        <v>500</v>
      </c>
      <c r="D1" s="23">
        <v>10</v>
      </c>
      <c r="E1" s="23">
        <f ca="1">SUM(INDIRECT("D"&amp;E2):INDIRECT("D"&amp;E3))</f>
        <v>180</v>
      </c>
      <c r="G1" s="20">
        <v>10</v>
      </c>
      <c r="H1" s="20"/>
      <c r="I1" s="20" t="s">
        <v>93</v>
      </c>
      <c r="K1" s="24">
        <f>vlookup!A2</f>
        <v>101</v>
      </c>
      <c r="L1" s="24" t="s">
        <v>94</v>
      </c>
      <c r="M1" s="24" t="s">
        <v>95</v>
      </c>
      <c r="N1" s="24">
        <v>3</v>
      </c>
      <c r="P1" s="25">
        <v>10</v>
      </c>
      <c r="Q1" s="25" t="s">
        <v>96</v>
      </c>
      <c r="R1" s="25">
        <f>MAX(P1:P9)</f>
        <v>50</v>
      </c>
    </row>
    <row r="2" spans="1:18" x14ac:dyDescent="0.3">
      <c r="A2" s="21" t="s">
        <v>91</v>
      </c>
      <c r="B2" s="21"/>
      <c r="D2" s="23">
        <v>20</v>
      </c>
      <c r="E2" s="23">
        <v>3</v>
      </c>
      <c r="G2" s="20">
        <v>20</v>
      </c>
      <c r="H2" s="20"/>
      <c r="I2" s="20" t="e">
        <f>AVERAGE(I1)</f>
        <v>#DIV/0!</v>
      </c>
      <c r="K2" s="24"/>
      <c r="L2" s="24"/>
      <c r="M2" s="24"/>
      <c r="N2" s="24"/>
      <c r="P2" s="25">
        <v>20</v>
      </c>
      <c r="Q2" s="25" t="s">
        <v>97</v>
      </c>
      <c r="R2" s="25">
        <f>MATCH(MAX(P1:P9),P1:P9,0)</f>
        <v>7</v>
      </c>
    </row>
    <row r="3" spans="1:18" x14ac:dyDescent="0.3">
      <c r="A3" s="21" cm="1">
        <f t="array" aca="1" ref="A3" ca="1">INDIRECT(A2)</f>
        <v>500</v>
      </c>
      <c r="B3" s="21"/>
      <c r="D3" s="23">
        <v>30</v>
      </c>
      <c r="E3" s="23">
        <v>6</v>
      </c>
      <c r="G3" s="20">
        <v>30</v>
      </c>
      <c r="H3" s="20"/>
      <c r="I3" s="20">
        <f ca="1">AVERAGE(INDIRECT(I1))</f>
        <v>55</v>
      </c>
      <c r="K3" s="24" cm="1">
        <f t="array" aca="1" ref="K3" ca="1">INDIRECT(L1&amp;_xlfn.CONCAT("!",M1,N1))</f>
        <v>121</v>
      </c>
      <c r="L3" s="24"/>
      <c r="M3" s="24"/>
      <c r="N3" s="24"/>
      <c r="P3" s="25">
        <v>30</v>
      </c>
      <c r="Q3" s="25" t="s">
        <v>98</v>
      </c>
      <c r="R3" s="25" t="str">
        <f>ADDRESS(MATCH(MAX(P1:P9),P1:P9,0),16)</f>
        <v>$P$7</v>
      </c>
    </row>
    <row r="4" spans="1:18" x14ac:dyDescent="0.3">
      <c r="A4" s="21" t="s">
        <v>92</v>
      </c>
      <c r="B4" s="21"/>
      <c r="D4" s="23">
        <v>40</v>
      </c>
      <c r="E4" s="23"/>
      <c r="G4" s="20">
        <v>40</v>
      </c>
      <c r="H4" s="20"/>
      <c r="I4" s="20">
        <f ca="1">AVERAGE(INDIRECT("scores"))</f>
        <v>55</v>
      </c>
      <c r="P4" s="25">
        <v>40</v>
      </c>
      <c r="Q4" s="25"/>
      <c r="R4" s="25"/>
    </row>
    <row r="5" spans="1:18" x14ac:dyDescent="0.3">
      <c r="A5" s="21" cm="1">
        <f t="array" aca="1" ref="A5" ca="1">INDIRECT(A4&amp;1)</f>
        <v>500</v>
      </c>
      <c r="B5" s="21"/>
      <c r="D5" s="23">
        <v>50</v>
      </c>
      <c r="E5" s="23"/>
      <c r="G5" s="20">
        <v>50</v>
      </c>
      <c r="H5" s="20"/>
      <c r="I5" s="20"/>
      <c r="P5" s="25">
        <v>30</v>
      </c>
      <c r="Q5" s="25"/>
      <c r="R5" s="25"/>
    </row>
    <row r="6" spans="1:18" x14ac:dyDescent="0.3">
      <c r="A6" s="21">
        <v>1</v>
      </c>
      <c r="B6" s="21"/>
      <c r="D6" s="23">
        <v>60</v>
      </c>
      <c r="E6" s="23"/>
      <c r="G6" s="20">
        <v>60</v>
      </c>
      <c r="H6" s="20"/>
      <c r="I6" s="20"/>
      <c r="P6" s="25">
        <v>10</v>
      </c>
      <c r="Q6" s="25"/>
      <c r="R6" s="25"/>
    </row>
    <row r="7" spans="1:18" x14ac:dyDescent="0.3">
      <c r="A7" s="21" cm="1">
        <f t="array" aca="1" ref="A7" ca="1">INDIRECT("B"&amp;A6)</f>
        <v>500</v>
      </c>
      <c r="B7" s="21"/>
      <c r="D7" s="23">
        <v>70</v>
      </c>
      <c r="E7" s="23"/>
      <c r="G7" s="20">
        <v>70</v>
      </c>
      <c r="H7" s="20"/>
      <c r="I7" s="20"/>
      <c r="P7" s="25">
        <v>50</v>
      </c>
      <c r="Q7" s="25"/>
      <c r="R7" s="25"/>
    </row>
    <row r="8" spans="1:18" x14ac:dyDescent="0.3">
      <c r="D8" s="23">
        <v>80</v>
      </c>
      <c r="E8" s="23"/>
      <c r="G8" s="20">
        <v>80</v>
      </c>
      <c r="H8" s="20"/>
      <c r="I8" s="20"/>
      <c r="P8" s="25">
        <v>40</v>
      </c>
      <c r="Q8" s="25"/>
      <c r="R8" s="25"/>
    </row>
    <row r="9" spans="1:18" x14ac:dyDescent="0.3">
      <c r="D9" s="23">
        <v>90</v>
      </c>
      <c r="E9" s="23"/>
      <c r="G9" s="20">
        <v>90</v>
      </c>
      <c r="H9" s="20"/>
      <c r="I9" s="20"/>
      <c r="P9" s="25">
        <v>10</v>
      </c>
      <c r="Q9" s="25"/>
      <c r="R9" s="25"/>
    </row>
    <row r="10" spans="1:18" x14ac:dyDescent="0.3">
      <c r="D10" s="23">
        <v>100</v>
      </c>
      <c r="E10" s="23"/>
      <c r="G10" s="20">
        <v>100</v>
      </c>
      <c r="H10" s="20"/>
      <c r="I10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10DD-ABA6-41F0-9B2A-72512247A283}">
  <dimension ref="A1:D12"/>
  <sheetViews>
    <sheetView workbookViewId="0">
      <selection activeCell="I19" sqref="I19"/>
    </sheetView>
  </sheetViews>
  <sheetFormatPr defaultRowHeight="14.4" x14ac:dyDescent="0.3"/>
  <sheetData>
    <row r="1" spans="1:4" x14ac:dyDescent="0.3">
      <c r="A1" s="25" t="s">
        <v>24</v>
      </c>
      <c r="B1" s="25" t="s">
        <v>25</v>
      </c>
      <c r="C1" s="25" t="s">
        <v>26</v>
      </c>
      <c r="D1" s="25" t="s">
        <v>27</v>
      </c>
    </row>
    <row r="2" spans="1:4" x14ac:dyDescent="0.3">
      <c r="A2" s="25">
        <v>32</v>
      </c>
      <c r="B2" s="25" t="s">
        <v>33</v>
      </c>
      <c r="C2" s="25" t="s">
        <v>38</v>
      </c>
      <c r="D2" s="25">
        <v>20000</v>
      </c>
    </row>
    <row r="3" spans="1:4" x14ac:dyDescent="0.3">
      <c r="A3" s="25">
        <v>56</v>
      </c>
      <c r="B3" s="25" t="s">
        <v>30</v>
      </c>
      <c r="C3" s="25" t="s">
        <v>36</v>
      </c>
      <c r="D3" s="25">
        <v>40000</v>
      </c>
    </row>
    <row r="4" spans="1:4" x14ac:dyDescent="0.3">
      <c r="A4" s="25">
        <v>101</v>
      </c>
      <c r="B4" s="25" t="s">
        <v>28</v>
      </c>
      <c r="C4" s="25" t="s">
        <v>34</v>
      </c>
      <c r="D4" s="25">
        <v>50000</v>
      </c>
    </row>
    <row r="5" spans="1:4" x14ac:dyDescent="0.3">
      <c r="A5" s="25">
        <v>110</v>
      </c>
      <c r="B5" s="25" t="s">
        <v>31</v>
      </c>
      <c r="C5" s="25" t="s">
        <v>37</v>
      </c>
      <c r="D5" s="25">
        <v>30000</v>
      </c>
    </row>
    <row r="6" spans="1:4" x14ac:dyDescent="0.3">
      <c r="A6" s="25">
        <v>121</v>
      </c>
      <c r="B6" s="25" t="s">
        <v>29</v>
      </c>
      <c r="C6" s="25" t="s">
        <v>35</v>
      </c>
      <c r="D6" s="25">
        <v>60000</v>
      </c>
    </row>
    <row r="7" spans="1:4" x14ac:dyDescent="0.3">
      <c r="A7" s="25">
        <v>56</v>
      </c>
      <c r="B7" s="25" t="s">
        <v>99</v>
      </c>
      <c r="C7" s="25" t="s">
        <v>40</v>
      </c>
      <c r="D7" s="25">
        <v>50000</v>
      </c>
    </row>
    <row r="8" spans="1:4" x14ac:dyDescent="0.3">
      <c r="A8" s="25"/>
      <c r="B8" s="25"/>
      <c r="C8" s="25"/>
      <c r="D8" s="25"/>
    </row>
    <row r="9" spans="1:4" x14ac:dyDescent="0.3">
      <c r="A9" s="25" t="s">
        <v>25</v>
      </c>
      <c r="B9" s="25" t="s">
        <v>99</v>
      </c>
      <c r="C9" s="5" t="s">
        <v>25</v>
      </c>
      <c r="D9" s="5" t="s">
        <v>99</v>
      </c>
    </row>
    <row r="10" spans="1:4" x14ac:dyDescent="0.3">
      <c r="A10" s="25" t="s">
        <v>24</v>
      </c>
      <c r="B10" s="25" cm="1">
        <f t="array" ref="B10">INDEX(A2:A7,MATCH(TRUE,EXACT(B9,B2:B7),0))</f>
        <v>56</v>
      </c>
      <c r="C10" s="5" t="s">
        <v>24</v>
      </c>
      <c r="D10" s="5" cm="1">
        <f t="array" ref="D10">_xlfn.XLOOKUP(TRUE,EXACT(D9,B2:B7),A2:A7)</f>
        <v>56</v>
      </c>
    </row>
    <row r="11" spans="1:4" x14ac:dyDescent="0.3">
      <c r="A11" s="25" t="s">
        <v>26</v>
      </c>
      <c r="B11" s="25" t="str" cm="1">
        <f t="array" ref="B11">INDEX(C2:C7,MATCH(TRUE,EXACT(B9,B2:B7),0))</f>
        <v>sawal</v>
      </c>
      <c r="C11" s="5" t="s">
        <v>26</v>
      </c>
      <c r="D11" s="5" t="str" cm="1">
        <f t="array" ref="D11">_xlfn.XLOOKUP(TRUE,EXACT(D9,B2:B7),C2:C7)</f>
        <v>sawal</v>
      </c>
    </row>
    <row r="12" spans="1:4" x14ac:dyDescent="0.3">
      <c r="A12" s="25" t="s">
        <v>27</v>
      </c>
      <c r="B12" s="25" cm="1">
        <f t="array" ref="B12">INDEX(D2:D7,MATCH(TRUE,EXACT(B9,B2:B7),0))</f>
        <v>50000</v>
      </c>
      <c r="C12" s="5" t="s">
        <v>27</v>
      </c>
      <c r="D12" s="5" cm="1">
        <f t="array" ref="D12">_xlfn.XLOOKUP(TRUE,EXACT(D9,B2:B7),D2:D7)</f>
        <v>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405B-8B09-4DD2-A270-AE0AA0D7376F}">
  <dimension ref="A1:K10"/>
  <sheetViews>
    <sheetView workbookViewId="0">
      <selection activeCell="H16" sqref="H16"/>
    </sheetView>
  </sheetViews>
  <sheetFormatPr defaultRowHeight="14.4" x14ac:dyDescent="0.3"/>
  <sheetData>
    <row r="1" spans="1:11" x14ac:dyDescent="0.3">
      <c r="A1" s="1" t="s">
        <v>100</v>
      </c>
      <c r="B1" s="8" t="s">
        <v>101</v>
      </c>
      <c r="D1" s="25" t="s">
        <v>103</v>
      </c>
      <c r="E1" s="8">
        <v>60</v>
      </c>
      <c r="G1" s="26" t="s">
        <v>100</v>
      </c>
      <c r="H1" s="26" t="s">
        <v>15</v>
      </c>
      <c r="J1" s="5" t="s">
        <v>100</v>
      </c>
      <c r="K1" s="5" t="s">
        <v>105</v>
      </c>
    </row>
    <row r="2" spans="1:11" x14ac:dyDescent="0.3">
      <c r="A2" s="1" t="s">
        <v>18</v>
      </c>
      <c r="B2" s="8">
        <f>_xlfn.XMATCH(B1,A2:A7)</f>
        <v>3</v>
      </c>
      <c r="D2" s="25">
        <v>25</v>
      </c>
      <c r="E2" s="8">
        <f>_xlfn.XMATCH(E1,D2:D7,-1,1)</f>
        <v>5</v>
      </c>
      <c r="G2" s="26" t="s">
        <v>18</v>
      </c>
      <c r="H2" s="26">
        <f>_xlfn.XMATCH(H1,G2:G8,0,1)</f>
        <v>2</v>
      </c>
      <c r="J2" s="5" t="s">
        <v>18</v>
      </c>
      <c r="K2" s="5">
        <v>20</v>
      </c>
    </row>
    <row r="3" spans="1:11" x14ac:dyDescent="0.3">
      <c r="A3" s="1" t="s">
        <v>15</v>
      </c>
      <c r="B3" s="1"/>
      <c r="D3" s="25">
        <v>45</v>
      </c>
      <c r="E3" s="8" t="str">
        <f>_xlfn.IFNA(_xlfn.XMATCH(E1,D2:D7,0,1),"NotFound")</f>
        <v>NotFound</v>
      </c>
      <c r="G3" s="26" t="s">
        <v>15</v>
      </c>
      <c r="H3" s="26"/>
      <c r="J3" s="5" t="s">
        <v>15</v>
      </c>
      <c r="K3" s="5">
        <v>50</v>
      </c>
    </row>
    <row r="4" spans="1:11" x14ac:dyDescent="0.3">
      <c r="A4" s="1" t="s">
        <v>101</v>
      </c>
      <c r="B4" s="8" t="s">
        <v>104</v>
      </c>
      <c r="D4" s="25">
        <v>65</v>
      </c>
      <c r="E4" s="8">
        <f>_xlfn.XMATCH(E1,D2:D7,1,1)</f>
        <v>3</v>
      </c>
      <c r="G4" s="26" t="s">
        <v>101</v>
      </c>
      <c r="H4" s="8" t="s">
        <v>15</v>
      </c>
      <c r="J4" s="5" t="s">
        <v>101</v>
      </c>
      <c r="K4" s="5">
        <v>60</v>
      </c>
    </row>
    <row r="5" spans="1:11" x14ac:dyDescent="0.3">
      <c r="A5" s="1" t="s">
        <v>102</v>
      </c>
      <c r="B5" s="8">
        <f>_xlfn.XMATCH(B4,A2:A7,2,1)</f>
        <v>6</v>
      </c>
      <c r="D5" s="25">
        <v>13</v>
      </c>
      <c r="E5" s="25"/>
      <c r="G5" s="26" t="s">
        <v>102</v>
      </c>
      <c r="H5" s="8">
        <f>_xlfn.XMATCH(H4,G2:G8,0,-1)</f>
        <v>7</v>
      </c>
      <c r="J5" s="5" t="s">
        <v>102</v>
      </c>
      <c r="K5" s="5">
        <v>40</v>
      </c>
    </row>
    <row r="6" spans="1:11" x14ac:dyDescent="0.3">
      <c r="A6" s="1" t="s">
        <v>20</v>
      </c>
      <c r="B6" s="1"/>
      <c r="D6" s="25">
        <v>56</v>
      </c>
      <c r="E6" s="25"/>
      <c r="G6" s="26" t="s">
        <v>20</v>
      </c>
      <c r="H6" s="26"/>
      <c r="J6" s="5" t="s">
        <v>20</v>
      </c>
      <c r="K6" s="5">
        <v>20</v>
      </c>
    </row>
    <row r="7" spans="1:11" x14ac:dyDescent="0.3">
      <c r="A7" s="1" t="s">
        <v>16</v>
      </c>
      <c r="B7" s="1"/>
      <c r="D7" s="25">
        <v>78</v>
      </c>
      <c r="E7" s="25"/>
      <c r="G7" s="26" t="s">
        <v>16</v>
      </c>
      <c r="H7" s="26"/>
      <c r="J7" s="5" t="s">
        <v>16</v>
      </c>
      <c r="K7" s="5">
        <v>40</v>
      </c>
    </row>
    <row r="8" spans="1:11" x14ac:dyDescent="0.3">
      <c r="G8" s="26" t="s">
        <v>15</v>
      </c>
      <c r="H8" s="26"/>
      <c r="J8" s="5"/>
      <c r="K8" s="5"/>
    </row>
    <row r="9" spans="1:11" x14ac:dyDescent="0.3">
      <c r="J9" s="5" t="s">
        <v>106</v>
      </c>
      <c r="K9" s="5" t="s">
        <v>20</v>
      </c>
    </row>
    <row r="10" spans="1:11" x14ac:dyDescent="0.3">
      <c r="J10" s="5" t="s">
        <v>107</v>
      </c>
      <c r="K10" s="5" cm="1">
        <f t="array" ref="K10">INDEX(K2:K7,_xlfn.XMATCH(K9,J2:J7,0,1))</f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7633-3442-47B7-BCD2-7733F7EDD58D}">
  <dimension ref="A1:R6"/>
  <sheetViews>
    <sheetView workbookViewId="0">
      <selection activeCell="Q1" sqref="Q1:R6"/>
    </sheetView>
  </sheetViews>
  <sheetFormatPr defaultRowHeight="14.4" x14ac:dyDescent="0.3"/>
  <sheetData>
    <row r="1" spans="1:18" x14ac:dyDescent="0.3">
      <c r="A1" s="28" t="s">
        <v>95</v>
      </c>
      <c r="B1" s="28" t="s">
        <v>112</v>
      </c>
      <c r="D1" s="28" t="s">
        <v>95</v>
      </c>
      <c r="E1" s="28" t="s">
        <v>112</v>
      </c>
      <c r="G1" s="27" t="s">
        <v>95</v>
      </c>
      <c r="H1" s="27" t="s">
        <v>112</v>
      </c>
      <c r="I1" s="27" t="str">
        <f>IF(ISERROR(MATCH(G1,$H$1:$H$6,0)),"",G1)</f>
        <v>A</v>
      </c>
      <c r="J1" s="27" t="str">
        <f>IF(ISERROR(MATCH(H1,$G$1:$G$6,0)),"",H1)</f>
        <v/>
      </c>
      <c r="L1" s="5" t="s">
        <v>95</v>
      </c>
      <c r="M1" s="5" t="s">
        <v>112</v>
      </c>
      <c r="N1" s="5" t="str">
        <f>IF(ISERROR(MATCH(M1,$L$1:$L$6,0)),M1,"")</f>
        <v>AA</v>
      </c>
      <c r="O1" s="5" t="str">
        <f>IF(ISERROR(MATCH(L1,$M$1:$M$6,0)),L1,"")</f>
        <v/>
      </c>
      <c r="Q1" s="28" t="s">
        <v>109</v>
      </c>
      <c r="R1" s="28" t="s">
        <v>109</v>
      </c>
    </row>
    <row r="2" spans="1:18" x14ac:dyDescent="0.3">
      <c r="A2" s="28" t="s">
        <v>92</v>
      </c>
      <c r="B2" s="28" t="s">
        <v>113</v>
      </c>
      <c r="D2" s="28" t="s">
        <v>92</v>
      </c>
      <c r="E2" s="28" t="s">
        <v>113</v>
      </c>
      <c r="G2" s="27" t="s">
        <v>92</v>
      </c>
      <c r="H2" s="27" t="s">
        <v>113</v>
      </c>
      <c r="I2" s="27" t="str">
        <f t="shared" ref="I2:I6" si="0">IF(ISERROR(MATCH(G2,$H$1:$H$6,0)),"",G2)</f>
        <v>B</v>
      </c>
      <c r="J2" s="27" t="str">
        <f t="shared" ref="J2:J6" si="1">IF(ISERROR(MATCH(H2,$G$1:$G$6,0)),"",H2)</f>
        <v/>
      </c>
      <c r="L2" s="5" t="s">
        <v>92</v>
      </c>
      <c r="M2" s="5" t="s">
        <v>113</v>
      </c>
      <c r="N2" s="5" t="str">
        <f t="shared" ref="N2:N6" si="2">IF(ISERROR(MATCH(M2,$L$1:$L$6,0)),M2,"")</f>
        <v>s</v>
      </c>
      <c r="O2" s="5" t="str">
        <f t="shared" ref="O2:O6" si="3">IF(ISERROR(MATCH(L2,$M$1:$M$6,0)),L2,"")</f>
        <v/>
      </c>
      <c r="Q2" s="28" t="s">
        <v>111</v>
      </c>
      <c r="R2" s="29" t="s">
        <v>110</v>
      </c>
    </row>
    <row r="3" spans="1:18" x14ac:dyDescent="0.3">
      <c r="A3" s="28" t="s">
        <v>108</v>
      </c>
      <c r="B3" s="28" t="s">
        <v>95</v>
      </c>
      <c r="D3" s="28" t="s">
        <v>108</v>
      </c>
      <c r="E3" s="28" t="s">
        <v>95</v>
      </c>
      <c r="G3" s="27" t="s">
        <v>108</v>
      </c>
      <c r="H3" s="27" t="s">
        <v>95</v>
      </c>
      <c r="I3" s="27" t="str">
        <f t="shared" si="0"/>
        <v/>
      </c>
      <c r="J3" s="27" t="str">
        <f t="shared" si="1"/>
        <v>A</v>
      </c>
      <c r="L3" s="5" t="s">
        <v>108</v>
      </c>
      <c r="M3" s="5" t="s">
        <v>95</v>
      </c>
      <c r="N3" s="5" t="str">
        <f t="shared" si="2"/>
        <v/>
      </c>
      <c r="O3" s="5" t="str">
        <f t="shared" si="3"/>
        <v>C</v>
      </c>
      <c r="Q3" s="28" t="s">
        <v>115</v>
      </c>
      <c r="R3" s="29" t="s">
        <v>110</v>
      </c>
    </row>
    <row r="4" spans="1:18" x14ac:dyDescent="0.3">
      <c r="A4" s="28" t="s">
        <v>109</v>
      </c>
      <c r="B4" s="28" t="s">
        <v>92</v>
      </c>
      <c r="D4" s="28" t="s">
        <v>109</v>
      </c>
      <c r="E4" s="28" t="s">
        <v>92</v>
      </c>
      <c r="G4" s="27" t="s">
        <v>109</v>
      </c>
      <c r="H4" s="27" t="s">
        <v>92</v>
      </c>
      <c r="I4" s="27" t="str">
        <f t="shared" si="0"/>
        <v>a</v>
      </c>
      <c r="J4" s="27" t="str">
        <f t="shared" si="1"/>
        <v>B</v>
      </c>
      <c r="L4" s="5" t="s">
        <v>109</v>
      </c>
      <c r="M4" s="5" t="s">
        <v>92</v>
      </c>
      <c r="N4" s="5" t="str">
        <f t="shared" si="2"/>
        <v/>
      </c>
      <c r="O4" s="5" t="str">
        <f t="shared" si="3"/>
        <v/>
      </c>
      <c r="Q4" s="28" t="s">
        <v>110</v>
      </c>
      <c r="R4" s="28" t="s">
        <v>110</v>
      </c>
    </row>
    <row r="5" spans="1:18" x14ac:dyDescent="0.3">
      <c r="A5" s="28" t="s">
        <v>110</v>
      </c>
      <c r="B5" s="28" t="s">
        <v>113</v>
      </c>
      <c r="D5" s="28" t="s">
        <v>110</v>
      </c>
      <c r="E5" s="28" t="s">
        <v>113</v>
      </c>
      <c r="G5" s="27" t="s">
        <v>110</v>
      </c>
      <c r="H5" s="27" t="s">
        <v>113</v>
      </c>
      <c r="I5" s="27" t="str">
        <f t="shared" si="0"/>
        <v>b</v>
      </c>
      <c r="J5" s="27" t="str">
        <f t="shared" si="1"/>
        <v/>
      </c>
      <c r="L5" s="5" t="s">
        <v>110</v>
      </c>
      <c r="M5" s="5" t="s">
        <v>113</v>
      </c>
      <c r="N5" s="5" t="str">
        <f t="shared" si="2"/>
        <v>s</v>
      </c>
      <c r="O5" s="5" t="str">
        <f t="shared" si="3"/>
        <v/>
      </c>
      <c r="Q5" s="28" t="s">
        <v>116</v>
      </c>
      <c r="R5" s="29" t="s">
        <v>115</v>
      </c>
    </row>
    <row r="6" spans="1:18" x14ac:dyDescent="0.3">
      <c r="A6" s="28" t="s">
        <v>111</v>
      </c>
      <c r="B6" s="28" t="s">
        <v>114</v>
      </c>
      <c r="D6" s="28" t="s">
        <v>111</v>
      </c>
      <c r="E6" s="28" t="s">
        <v>114</v>
      </c>
      <c r="G6" s="27" t="s">
        <v>111</v>
      </c>
      <c r="H6" s="27" t="s">
        <v>114</v>
      </c>
      <c r="I6" s="27" t="str">
        <f t="shared" si="0"/>
        <v/>
      </c>
      <c r="J6" s="27" t="str">
        <f t="shared" si="1"/>
        <v/>
      </c>
      <c r="L6" s="5" t="s">
        <v>111</v>
      </c>
      <c r="M6" s="5" t="s">
        <v>114</v>
      </c>
      <c r="N6" s="5" t="str">
        <f t="shared" si="2"/>
        <v>f</v>
      </c>
      <c r="O6" s="5" t="str">
        <f t="shared" si="3"/>
        <v>c</v>
      </c>
      <c r="Q6" s="28" t="s">
        <v>117</v>
      </c>
      <c r="R6" s="28" t="s">
        <v>114</v>
      </c>
    </row>
  </sheetData>
  <conditionalFormatting sqref="A1:B6">
    <cfRule type="duplicateValues" dxfId="2" priority="4"/>
  </conditionalFormatting>
  <conditionalFormatting sqref="D1:D6">
    <cfRule type="expression" dxfId="1" priority="2">
      <formula>COUNTIF(Two,D1)=0</formula>
    </cfRule>
  </conditionalFormatting>
  <conditionalFormatting sqref="E1:E6">
    <cfRule type="expression" dxfId="0" priority="1">
      <formula>COUNTIF(One,E1)=0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3342-BDE6-4052-9832-C12E81DCC445}">
  <dimension ref="A1:D20"/>
  <sheetViews>
    <sheetView workbookViewId="0">
      <selection activeCell="G10" sqref="G10"/>
    </sheetView>
  </sheetViews>
  <sheetFormatPr defaultRowHeight="14.4" x14ac:dyDescent="0.3"/>
  <sheetData>
    <row r="1" spans="1:4" x14ac:dyDescent="0.3">
      <c r="A1" s="1" t="s">
        <v>63</v>
      </c>
      <c r="B1" s="1" t="s">
        <v>77</v>
      </c>
      <c r="C1" s="1" t="s">
        <v>76</v>
      </c>
      <c r="D1" s="1" t="s">
        <v>78</v>
      </c>
    </row>
    <row r="2" spans="1:4" x14ac:dyDescent="0.3">
      <c r="A2" s="1" t="s">
        <v>64</v>
      </c>
      <c r="B2" s="1">
        <v>400</v>
      </c>
      <c r="C2" s="1">
        <v>560</v>
      </c>
      <c r="D2" s="1">
        <v>330</v>
      </c>
    </row>
    <row r="3" spans="1:4" x14ac:dyDescent="0.3">
      <c r="A3" s="1" t="s">
        <v>65</v>
      </c>
      <c r="B3" s="1">
        <v>500</v>
      </c>
      <c r="C3" s="1">
        <v>875</v>
      </c>
      <c r="D3" s="1">
        <v>110</v>
      </c>
    </row>
    <row r="4" spans="1:4" x14ac:dyDescent="0.3">
      <c r="A4" s="1" t="s">
        <v>66</v>
      </c>
      <c r="B4" s="1">
        <v>600</v>
      </c>
      <c r="C4" s="1">
        <v>655</v>
      </c>
      <c r="D4" s="1">
        <v>410</v>
      </c>
    </row>
    <row r="5" spans="1:4" x14ac:dyDescent="0.3">
      <c r="A5" s="1" t="s">
        <v>67</v>
      </c>
      <c r="B5" s="1">
        <v>250</v>
      </c>
      <c r="C5" s="1">
        <v>540</v>
      </c>
      <c r="D5" s="1">
        <v>520</v>
      </c>
    </row>
    <row r="6" spans="1:4" x14ac:dyDescent="0.3">
      <c r="A6" s="1" t="s">
        <v>68</v>
      </c>
      <c r="B6" s="1">
        <v>350</v>
      </c>
      <c r="C6" s="1">
        <v>650</v>
      </c>
      <c r="D6" s="1">
        <v>850</v>
      </c>
    </row>
    <row r="7" spans="1:4" x14ac:dyDescent="0.3">
      <c r="A7" s="1" t="s">
        <v>69</v>
      </c>
      <c r="B7" s="1">
        <v>650</v>
      </c>
      <c r="C7" s="1">
        <v>950</v>
      </c>
      <c r="D7" s="1">
        <v>960</v>
      </c>
    </row>
    <row r="8" spans="1:4" x14ac:dyDescent="0.3">
      <c r="A8" s="1" t="s">
        <v>70</v>
      </c>
      <c r="B8" s="1">
        <v>900</v>
      </c>
      <c r="C8" s="1">
        <v>340</v>
      </c>
      <c r="D8" s="1">
        <v>630</v>
      </c>
    </row>
    <row r="9" spans="1:4" x14ac:dyDescent="0.3">
      <c r="A9" s="1" t="s">
        <v>71</v>
      </c>
      <c r="B9" s="1">
        <v>400</v>
      </c>
      <c r="C9" s="1">
        <v>680</v>
      </c>
      <c r="D9" s="1">
        <v>410</v>
      </c>
    </row>
    <row r="10" spans="1:4" x14ac:dyDescent="0.3">
      <c r="A10" s="1" t="s">
        <v>72</v>
      </c>
      <c r="B10" s="1">
        <v>500</v>
      </c>
      <c r="C10" s="1">
        <v>570</v>
      </c>
      <c r="D10" s="1">
        <v>750</v>
      </c>
    </row>
    <row r="11" spans="1:4" x14ac:dyDescent="0.3">
      <c r="A11" s="1" t="s">
        <v>73</v>
      </c>
      <c r="B11" s="1">
        <v>550</v>
      </c>
      <c r="C11" s="1">
        <v>890</v>
      </c>
      <c r="D11" s="1">
        <v>250</v>
      </c>
    </row>
    <row r="12" spans="1:4" x14ac:dyDescent="0.3">
      <c r="A12" s="1" t="s">
        <v>74</v>
      </c>
      <c r="B12" s="1">
        <v>420</v>
      </c>
      <c r="C12" s="1">
        <v>860</v>
      </c>
      <c r="D12" s="1">
        <v>350</v>
      </c>
    </row>
    <row r="13" spans="1:4" x14ac:dyDescent="0.3">
      <c r="A13" s="1" t="s">
        <v>75</v>
      </c>
      <c r="B13" s="1">
        <v>320</v>
      </c>
      <c r="C13" s="1">
        <v>880</v>
      </c>
      <c r="D13" s="1">
        <v>260</v>
      </c>
    </row>
    <row r="14" spans="1:4" x14ac:dyDescent="0.3">
      <c r="A14" s="1"/>
      <c r="B14" s="1"/>
      <c r="C14" s="1"/>
      <c r="D14" s="1"/>
    </row>
    <row r="15" spans="1:4" x14ac:dyDescent="0.3">
      <c r="A15" s="1">
        <f ca="1">OFFSET(A1,3,2,1,1)</f>
        <v>655</v>
      </c>
      <c r="B15" s="1"/>
      <c r="C15" s="1"/>
      <c r="D15" s="1"/>
    </row>
    <row r="16" spans="1:4" x14ac:dyDescent="0.3">
      <c r="A16" s="1" t="str" cm="1">
        <f t="array" aca="1" ref="A16:D16" ca="1">OFFSET(A1,12,0,1,4)</f>
        <v>dec</v>
      </c>
      <c r="B16" s="1">
        <f ca="1"/>
        <v>320</v>
      </c>
      <c r="C16" s="1">
        <f ca="1"/>
        <v>880</v>
      </c>
      <c r="D16" s="1">
        <f ca="1"/>
        <v>260</v>
      </c>
    </row>
    <row r="17" spans="1:4" x14ac:dyDescent="0.3">
      <c r="A17" s="1">
        <f ca="1">SUM(OFFSET(A1,8,1,1,3))</f>
        <v>1490</v>
      </c>
      <c r="B17" s="1"/>
      <c r="C17" s="1"/>
      <c r="D17" s="1"/>
    </row>
    <row r="18" spans="1:4" x14ac:dyDescent="0.3">
      <c r="A18" s="1">
        <f ca="1">SUM(OFFSET(B1:D1,11,0))</f>
        <v>1630</v>
      </c>
      <c r="B18" s="1"/>
      <c r="C18" s="1"/>
      <c r="D18" s="1"/>
    </row>
    <row r="19" spans="1:4" x14ac:dyDescent="0.3">
      <c r="A19" s="1" t="str">
        <f ca="1">OFFSET(C13,-12,0)</f>
        <v>chocolate</v>
      </c>
      <c r="B19" s="1"/>
      <c r="C19" s="1"/>
      <c r="D19" s="1"/>
    </row>
    <row r="20" spans="1:4" x14ac:dyDescent="0.3">
      <c r="A20" s="1" t="str">
        <f ca="1">OFFSET(B13,-12,-1)</f>
        <v>month</v>
      </c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Lookup&amp;Reference</vt:lpstr>
      <vt:lpstr>vlookup</vt:lpstr>
      <vt:lpstr>xlookup</vt:lpstr>
      <vt:lpstr>Index&amp;Match</vt:lpstr>
      <vt:lpstr>TwoWayLookup</vt:lpstr>
      <vt:lpstr>Indirect&amp;Address</vt:lpstr>
      <vt:lpstr>CaseSensitiveLookup</vt:lpstr>
      <vt:lpstr>Xmatch</vt:lpstr>
      <vt:lpstr>CompareTwoColumns</vt:lpstr>
      <vt:lpstr>Sheet2</vt:lpstr>
      <vt:lpstr>apr</vt:lpstr>
      <vt:lpstr>aug</vt:lpstr>
      <vt:lpstr>chocolate</vt:lpstr>
      <vt:lpstr>dec</vt:lpstr>
      <vt:lpstr>feb</vt:lpstr>
      <vt:lpstr>jan</vt:lpstr>
      <vt:lpstr>jul</vt:lpstr>
      <vt:lpstr>jun</vt:lpstr>
      <vt:lpstr>mar</vt:lpstr>
      <vt:lpstr>may</vt:lpstr>
      <vt:lpstr>month</vt:lpstr>
      <vt:lpstr>nov</vt:lpstr>
      <vt:lpstr>oct</vt:lpstr>
      <vt:lpstr>One</vt:lpstr>
      <vt:lpstr>scores</vt:lpstr>
      <vt:lpstr>sep</vt:lpstr>
      <vt:lpstr>strawberry</vt:lpstr>
      <vt:lpstr>Two</vt:lpstr>
      <vt:lpstr>vanilla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2026-02-04T07:03:27Z</dcterms:modified>
</cp:coreProperties>
</file>