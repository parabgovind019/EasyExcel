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df817dbf12b6dcf0/Desktop/Tables/"/>
    </mc:Choice>
  </mc:AlternateContent>
  <xr:revisionPtr revIDLastSave="168" documentId="11_F25DC773A252ABDACC1048C9A1DF6BC05ADE58E5" xr6:coauthVersionLast="47" xr6:coauthVersionMax="47" xr10:uidLastSave="{55308CF9-FC6F-4175-8BE4-CDB6B4FF20FC}"/>
  <bookViews>
    <workbookView xWindow="-108" yWindow="-108" windowWidth="23256" windowHeight="12456" firstSheet="1" activeTab="5" xr2:uid="{00000000-000D-0000-FFFF-FFFF00000000}"/>
  </bookViews>
  <sheets>
    <sheet name="TablesBasic" sheetId="1" r:id="rId1"/>
    <sheet name="StructuredReference" sheetId="2" r:id="rId2"/>
    <sheet name="RemoveFormatting" sheetId="3" r:id="rId3"/>
    <sheet name="MergeTables" sheetId="4" r:id="rId4"/>
    <sheet name="ChartTable" sheetId="5" r:id="rId5"/>
    <sheet name="QuickToolsAnalysi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/>
  <c r="E3" i="6"/>
  <c r="E4" i="6"/>
  <c r="E5" i="6"/>
  <c r="E6" i="6"/>
  <c r="E7" i="6"/>
  <c r="E8" i="6"/>
  <c r="E9" i="6"/>
  <c r="E10" i="6"/>
  <c r="E11" i="6"/>
  <c r="E12" i="6"/>
  <c r="E13" i="6"/>
  <c r="B14" i="6"/>
  <c r="C14" i="6"/>
  <c r="D14" i="6"/>
  <c r="C2" i="4"/>
  <c r="C3" i="4"/>
  <c r="C4" i="4"/>
  <c r="C5" i="4"/>
  <c r="C6" i="4"/>
  <c r="C7" i="4"/>
  <c r="B17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M32" i="1"/>
  <c r="G18" i="1"/>
  <c r="D16" i="1"/>
  <c r="B33" i="1"/>
  <c r="D33" i="1"/>
</calcChain>
</file>

<file path=xl/sharedStrings.xml><?xml version="1.0" encoding="utf-8"?>
<sst xmlns="http://schemas.openxmlformats.org/spreadsheetml/2006/main" count="381" uniqueCount="62">
  <si>
    <t>Last Name</t>
  </si>
  <si>
    <t>Sales</t>
  </si>
  <si>
    <t>Country</t>
  </si>
  <si>
    <t>Quarter</t>
  </si>
  <si>
    <t>Smith</t>
  </si>
  <si>
    <t>UK</t>
  </si>
  <si>
    <t>Qtr 3</t>
  </si>
  <si>
    <t>Johnson</t>
  </si>
  <si>
    <t>USA</t>
  </si>
  <si>
    <t>Qtr 4</t>
  </si>
  <si>
    <t>Williams</t>
  </si>
  <si>
    <t>Qtr 2</t>
  </si>
  <si>
    <t>Jones</t>
  </si>
  <si>
    <t>Brown</t>
  </si>
  <si>
    <t>Qtr 1</t>
  </si>
  <si>
    <t>Total</t>
  </si>
  <si>
    <t xml:space="preserve">Total Record </t>
  </si>
  <si>
    <t>Govind</t>
  </si>
  <si>
    <t>$32,000.00</t>
  </si>
  <si>
    <t>IND</t>
  </si>
  <si>
    <t>Bonus</t>
  </si>
  <si>
    <t>country</t>
  </si>
  <si>
    <t>city</t>
  </si>
  <si>
    <t>countrycode</t>
  </si>
  <si>
    <t>india</t>
  </si>
  <si>
    <t>russia</t>
  </si>
  <si>
    <t>china</t>
  </si>
  <si>
    <t>nepal</t>
  </si>
  <si>
    <t>bhutan</t>
  </si>
  <si>
    <t>bangladesh</t>
  </si>
  <si>
    <t>mumbai</t>
  </si>
  <si>
    <t>moscow</t>
  </si>
  <si>
    <t>hongkong</t>
  </si>
  <si>
    <t>kathmandu</t>
  </si>
  <si>
    <t>thimphu</t>
  </si>
  <si>
    <t>dhaka</t>
  </si>
  <si>
    <t>rus</t>
  </si>
  <si>
    <t>ind</t>
  </si>
  <si>
    <t>chn</t>
  </si>
  <si>
    <t>nep</t>
  </si>
  <si>
    <t>bhu</t>
  </si>
  <si>
    <t>ban</t>
  </si>
  <si>
    <t>month</t>
  </si>
  <si>
    <t>bears</t>
  </si>
  <si>
    <t>dolphins</t>
  </si>
  <si>
    <t>whales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</si>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</sst>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3" borderId="0" xfId="0" applyFill="1"/>
    <xf numFmtId="164" fontId="0" fillId="2" borderId="2" xfId="0" applyNumberFormat="1" applyFill="1" applyBorder="1"/>
    <xf numFmtId="164" fontId="0" fillId="0" borderId="2" xfId="0" applyNumberFormat="1" applyBorder="1"/>
    <xf numFmtId="0" fontId="0" fillId="0" borderId="4" xfId="0" applyBorder="1"/>
    <xf numFmtId="164" fontId="0" fillId="0" borderId="5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164" formatCode="&quot;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 style="thin">
          <color theme="4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theme="4" tint="0.3999755851924192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numFmt numFmtId="164" formatCode="&quot;$&quot;#,##0.00"/>
    </dxf>
    <dxf>
      <numFmt numFmtId="164" formatCode="&quot;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&quot;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ChartTable!$B$1</c:f>
              <c:strCache>
                <c:ptCount val="1"/>
                <c:pt idx="0">
                  <c:v>bears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ChartTable!$A$2:$A$13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ChartTable!$B$2:$B$13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10</c:v>
                </c:pt>
                <c:pt idx="4">
                  <c:v>50</c:v>
                </c:pt>
                <c:pt idx="5">
                  <c:v>20</c:v>
                </c:pt>
                <c:pt idx="6">
                  <c:v>30</c:v>
                </c:pt>
                <c:pt idx="7">
                  <c:v>40</c:v>
                </c:pt>
                <c:pt idx="8">
                  <c:v>50</c:v>
                </c:pt>
                <c:pt idx="9">
                  <c:v>40</c:v>
                </c:pt>
                <c:pt idx="10">
                  <c:v>10</c:v>
                </c:pt>
                <c:pt idx="1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5C-4AAD-8D2C-97F660018248}"/>
            </c:ext>
          </c:extLst>
        </c:ser>
        <c:ser>
          <c:idx val="1"/>
          <c:order val="1"/>
          <c:tx>
            <c:strRef>
              <c:f>ChartTable!$C$1</c:f>
              <c:strCache>
                <c:ptCount val="1"/>
                <c:pt idx="0">
                  <c:v>dolphins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ChartTable!$A$2:$A$13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ChartTable!$C$2:$C$13</c:f>
              <c:numCache>
                <c:formatCode>General</c:formatCode>
                <c:ptCount val="12"/>
                <c:pt idx="0">
                  <c:v>20</c:v>
                </c:pt>
                <c:pt idx="1">
                  <c:v>10</c:v>
                </c:pt>
                <c:pt idx="2">
                  <c:v>40</c:v>
                </c:pt>
                <c:pt idx="3">
                  <c:v>50</c:v>
                </c:pt>
                <c:pt idx="4">
                  <c:v>40</c:v>
                </c:pt>
                <c:pt idx="5">
                  <c:v>30</c:v>
                </c:pt>
                <c:pt idx="6">
                  <c:v>20</c:v>
                </c:pt>
                <c:pt idx="7">
                  <c:v>50</c:v>
                </c:pt>
                <c:pt idx="8">
                  <c:v>10</c:v>
                </c:pt>
                <c:pt idx="9">
                  <c:v>30</c:v>
                </c:pt>
                <c:pt idx="10">
                  <c:v>20</c:v>
                </c:pt>
                <c:pt idx="1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5C-4AAD-8D2C-97F660018248}"/>
            </c:ext>
          </c:extLst>
        </c:ser>
        <c:ser>
          <c:idx val="2"/>
          <c:order val="2"/>
          <c:tx>
            <c:strRef>
              <c:f>ChartTable!$D$1</c:f>
              <c:strCache>
                <c:ptCount val="1"/>
                <c:pt idx="0">
                  <c:v>whales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ChartTable!$A$2:$A$13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ChartTable!$D$2:$D$13</c:f>
              <c:numCache>
                <c:formatCode>General</c:formatCode>
                <c:ptCount val="12"/>
                <c:pt idx="0">
                  <c:v>30</c:v>
                </c:pt>
                <c:pt idx="1">
                  <c:v>50</c:v>
                </c:pt>
                <c:pt idx="2">
                  <c:v>40</c:v>
                </c:pt>
                <c:pt idx="3">
                  <c:v>5</c:v>
                </c:pt>
                <c:pt idx="4">
                  <c:v>60</c:v>
                </c:pt>
                <c:pt idx="5">
                  <c:v>40</c:v>
                </c:pt>
                <c:pt idx="6">
                  <c:v>20</c:v>
                </c:pt>
                <c:pt idx="7">
                  <c:v>10</c:v>
                </c:pt>
                <c:pt idx="8">
                  <c:v>20</c:v>
                </c:pt>
                <c:pt idx="9">
                  <c:v>40</c:v>
                </c:pt>
                <c:pt idx="10">
                  <c:v>50</c:v>
                </c:pt>
                <c:pt idx="11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5C-4AAD-8D2C-97F660018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8986559"/>
        <c:axId val="2108985599"/>
      </c:barChart>
      <c:catAx>
        <c:axId val="2108986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985599"/>
        <c:crosses val="autoZero"/>
        <c:auto val="1"/>
        <c:lblAlgn val="ctr"/>
        <c:lblOffset val="100"/>
        <c:noMultiLvlLbl val="0"/>
      </c:catAx>
      <c:valAx>
        <c:axId val="210898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986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464820</xdr:colOff>
      <xdr:row>1</xdr:row>
      <xdr:rowOff>110490</xdr:rowOff>
    </xdr:from>
    <xdr:to>
      <xdr:col>14</xdr:col>
      <xdr:colOff>160020</xdr:colOff>
      <xdr:row>16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FA22A8-E49A-0DC7-E8F0-2DEDAECFCE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D9D95C-13FE-48D2-96F0-9648241325A9}" name="Table1" displayName="Table1" ref="A1:D16" totalsRowCount="1" headerRowDxfId="18">
  <autoFilter ref="A1:D15" xr:uid="{79D9D95C-13FE-48D2-96F0-9648241325A9}">
    <filterColumn colId="2">
      <filters>
        <filter val="USA"/>
      </filters>
    </filterColumn>
  </autoFilter>
  <sortState xmlns:xlrd2="http://schemas.microsoft.com/office/spreadsheetml/2017/richdata2" ref="A2:D15">
    <sortCondition ref="A1:A15"/>
  </sortState>
  <tableColumns count="4">
    <tableColumn id="1" xr3:uid="{0C7EF1CA-6EB1-4B5D-BC66-2C1D6DD09F4C}" name="Last Name" totalsRowLabel="Total"/>
    <tableColumn id="2" xr3:uid="{9F88DB92-FF58-4342-9A74-BAE32D0DC222}" name="Sales" dataDxfId="17"/>
    <tableColumn id="3" xr3:uid="{F8BC9869-2C5A-4BC9-8FA7-4D47C2EDD1B9}" name="Country"/>
    <tableColumn id="4" xr3:uid="{2D887647-05ED-4249-BE2A-BB05A10EC456}" name="Quarter" totalsRowFunction="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E4F550-2AEE-466C-992D-1B14E812EE6B}" name="SalesData" displayName="SalesData" ref="A18:D33" totalsRowCount="1" headerRowDxfId="16">
  <autoFilter ref="A18:D32" xr:uid="{1BE4F550-2AEE-466C-992D-1B14E812EE6B}"/>
  <tableColumns count="4">
    <tableColumn id="1" xr3:uid="{D10D2E01-25C0-459A-89D1-1C2272C3A79F}" name="Last Name" totalsRowLabel="Total"/>
    <tableColumn id="2" xr3:uid="{018BDDA7-0C30-4995-9418-B6D85EC2C738}" name="Sales" totalsRowFunction="sum" dataDxfId="15" totalsRowDxfId="14"/>
    <tableColumn id="3" xr3:uid="{30155E1A-B976-43CC-A737-4901E978BB77}" name="Country"/>
    <tableColumn id="4" xr3:uid="{4BED0513-298E-4797-9BE9-0CC4D94B46C7}" name="Quarter" totalsRowFunction="c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235A48-889F-4CF3-88AC-65B04BA79E15}" name="Table3" displayName="Table3" ref="J16:M32" totalsRowCount="1" tableBorderDxfId="13">
  <autoFilter ref="J16:M31" xr:uid="{0F235A48-889F-4CF3-88AC-65B04BA79E15}"/>
  <tableColumns count="4">
    <tableColumn id="1" xr3:uid="{C7FF005A-0229-4B26-82B5-823ADCC20584}" name="Last Name" totalsRowLabel="Total" dataDxfId="12" totalsRowDxfId="11"/>
    <tableColumn id="2" xr3:uid="{03C3103C-ABAB-40CD-B9A1-4FE1DBFAAF01}" name="Sales" dataDxfId="10" totalsRowDxfId="9"/>
    <tableColumn id="3" xr3:uid="{78ECE4D1-1EBA-4BD3-BEA1-274719331110}" name="Country" dataDxfId="8" totalsRowDxfId="7"/>
    <tableColumn id="4" xr3:uid="{AACDC68E-F132-4A4D-802E-35CECEF0AD57}" name="Quarter" totalsRowFunction="count" dataDxfId="6" totalsRowDxfId="5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1C43BA2-DB1C-42DA-9401-A0D3BB5227CE}" name="Table4" displayName="Table4" ref="A1:E15" totalsRowShown="0" headerRowDxfId="4">
  <autoFilter ref="A1:E15" xr:uid="{11C43BA2-DB1C-42DA-9401-A0D3BB5227CE}"/>
  <tableColumns count="5">
    <tableColumn id="1" xr3:uid="{B0827F01-8AAA-4E2F-818D-51CA53A179BD}" name="Last Name"/>
    <tableColumn id="2" xr3:uid="{5F01A47C-8740-477C-860B-D782F55E683B}" name="Sales" dataDxfId="3"/>
    <tableColumn id="3" xr3:uid="{65AA7602-E304-4811-A44E-DE3FB05B0BCA}" name="Country"/>
    <tableColumn id="4" xr3:uid="{9F2FE7C1-8E88-4A74-AD27-48C58E6F07CA}" name="Quarter"/>
    <tableColumn id="5" xr3:uid="{09F130B6-583B-4849-96BB-F5ED2D2A3BB2}" name="Bonus" dataDxfId="2">
      <calculatedColumnFormula>0.02*Table4[[#This Row],[Sales]]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BDE4380-BEE2-43D3-BAA5-D51F0F12C0E4}" name="Table5" displayName="Table5" ref="A1:C7" totalsRowShown="0">
  <autoFilter ref="A1:C7" xr:uid="{8BDE4380-BEE2-43D3-BAA5-D51F0F12C0E4}"/>
  <tableColumns count="3">
    <tableColumn id="1" xr3:uid="{DF36B726-0800-4077-8922-CA6797B01F06}" name="country"/>
    <tableColumn id="2" xr3:uid="{34C97E98-0047-441A-9577-487F2EAA9CDE}" name="city"/>
    <tableColumn id="3" xr3:uid="{2C883B93-74C4-451D-A02C-E695898986D1}" name="countrycode" dataDxfId="1">
      <calculatedColumnFormula>VLOOKUP(Table5[[#This Row],[country]],Table6[],2,FALSE)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B6F5A48-F4A2-4392-AB82-E910EB8E6BBF}" name="Table6" displayName="Table6" ref="E1:F7" totalsRowShown="0">
  <autoFilter ref="E1:F7" xr:uid="{CB6F5A48-F4A2-4392-AB82-E910EB8E6BBF}"/>
  <tableColumns count="2">
    <tableColumn id="1" xr3:uid="{126AF4E6-6380-4485-BE3E-8ED233C6C37C}" name="country"/>
    <tableColumn id="2" xr3:uid="{BA5BE160-47C2-478D-89AA-B3772FE0B99C}" name="countrycod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82CE367-0AC9-457A-9DA9-8B422D598FFD}" name="Table8" displayName="Table8" ref="A1:D13" totalsRowShown="0">
  <autoFilter ref="A1:D13" xr:uid="{E82CE367-0AC9-457A-9DA9-8B422D598FFD}"/>
  <tableColumns count="4">
    <tableColumn id="1" xr3:uid="{33B7631F-A294-4A07-8130-5D2081A31AEB}" name="month"/>
    <tableColumn id="2" xr3:uid="{6B1F745E-8406-46C0-BC35-FA34CBBB4EBA}" name="bears"/>
    <tableColumn id="3" xr3:uid="{EE682CD7-2A13-43CC-B745-E9FE713B9C3F}" name="dolphins"/>
    <tableColumn id="4" xr3:uid="{A5C2B003-8BA1-42BC-AF6D-916EA48877D4}" name="wh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opLeftCell="A2" workbookViewId="0">
      <selection activeCell="L29" sqref="L29"/>
    </sheetView>
  </sheetViews>
  <sheetFormatPr defaultRowHeight="14.4" x14ac:dyDescent="0.3"/>
  <cols>
    <col min="1" max="1" width="11.6640625" customWidth="1"/>
    <col min="2" max="2" width="11.6640625" bestFit="1" customWidth="1"/>
    <col min="3" max="3" width="9.6640625" customWidth="1"/>
    <col min="4" max="4" width="9.33203125" customWidth="1"/>
    <col min="7" max="7" width="10" bestFit="1" customWidth="1"/>
    <col min="10" max="10" width="11.6640625" customWidth="1"/>
    <col min="11" max="12" width="10" bestFit="1" customWidth="1"/>
    <col min="13" max="13" width="9.33203125" customWidth="1"/>
    <col min="17" max="17" width="10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13" x14ac:dyDescent="0.3">
      <c r="A2" t="s">
        <v>13</v>
      </c>
      <c r="B2" s="2">
        <v>4865</v>
      </c>
      <c r="C2" t="s">
        <v>8</v>
      </c>
      <c r="D2" t="s">
        <v>9</v>
      </c>
    </row>
    <row r="3" spans="1:13" x14ac:dyDescent="0.3">
      <c r="A3" t="s">
        <v>13</v>
      </c>
      <c r="B3" s="2">
        <v>3255</v>
      </c>
      <c r="C3" t="s">
        <v>8</v>
      </c>
      <c r="D3" t="s">
        <v>11</v>
      </c>
    </row>
    <row r="4" spans="1:13" x14ac:dyDescent="0.3">
      <c r="A4" t="s">
        <v>7</v>
      </c>
      <c r="B4" s="2">
        <v>14808</v>
      </c>
      <c r="C4" t="s">
        <v>8</v>
      </c>
      <c r="D4" t="s">
        <v>9</v>
      </c>
    </row>
    <row r="5" spans="1:13" hidden="1" x14ac:dyDescent="0.3">
      <c r="A5" t="s">
        <v>7</v>
      </c>
      <c r="B5" s="2">
        <v>9339</v>
      </c>
      <c r="C5" t="s">
        <v>5</v>
      </c>
      <c r="D5" t="s">
        <v>11</v>
      </c>
    </row>
    <row r="6" spans="1:13" x14ac:dyDescent="0.3">
      <c r="A6" t="s">
        <v>12</v>
      </c>
      <c r="B6" s="2">
        <v>1390</v>
      </c>
      <c r="C6" t="s">
        <v>8</v>
      </c>
      <c r="D6" t="s">
        <v>6</v>
      </c>
    </row>
    <row r="7" spans="1:13" x14ac:dyDescent="0.3">
      <c r="A7" t="s">
        <v>12</v>
      </c>
      <c r="B7" s="2">
        <v>9213</v>
      </c>
      <c r="C7" t="s">
        <v>8</v>
      </c>
      <c r="D7" t="s">
        <v>9</v>
      </c>
    </row>
    <row r="8" spans="1:13" hidden="1" x14ac:dyDescent="0.3">
      <c r="A8" t="s">
        <v>12</v>
      </c>
      <c r="B8" s="2">
        <v>7433</v>
      </c>
      <c r="C8" t="s">
        <v>5</v>
      </c>
      <c r="D8" t="s">
        <v>14</v>
      </c>
    </row>
    <row r="9" spans="1:13" hidden="1" x14ac:dyDescent="0.3">
      <c r="A9" t="s">
        <v>4</v>
      </c>
      <c r="B9" s="2">
        <v>16753</v>
      </c>
      <c r="C9" t="s">
        <v>5</v>
      </c>
      <c r="D9" t="s">
        <v>6</v>
      </c>
    </row>
    <row r="10" spans="1:13" x14ac:dyDescent="0.3">
      <c r="A10" t="s">
        <v>4</v>
      </c>
      <c r="B10" s="2">
        <v>18919</v>
      </c>
      <c r="C10" t="s">
        <v>8</v>
      </c>
      <c r="D10" t="s">
        <v>6</v>
      </c>
    </row>
    <row r="11" spans="1:13" x14ac:dyDescent="0.3">
      <c r="A11" t="s">
        <v>4</v>
      </c>
      <c r="B11" s="2">
        <v>9698</v>
      </c>
      <c r="C11" t="s">
        <v>8</v>
      </c>
      <c r="D11" t="s">
        <v>14</v>
      </c>
    </row>
    <row r="12" spans="1:13" hidden="1" x14ac:dyDescent="0.3">
      <c r="A12" t="s">
        <v>10</v>
      </c>
      <c r="B12" s="2">
        <v>10644</v>
      </c>
      <c r="C12" t="s">
        <v>5</v>
      </c>
      <c r="D12" t="s">
        <v>11</v>
      </c>
    </row>
    <row r="13" spans="1:13" hidden="1" x14ac:dyDescent="0.3">
      <c r="A13" t="s">
        <v>10</v>
      </c>
      <c r="B13" s="2">
        <v>12438</v>
      </c>
      <c r="C13" t="s">
        <v>5</v>
      </c>
      <c r="D13" t="s">
        <v>14</v>
      </c>
    </row>
    <row r="14" spans="1:13" x14ac:dyDescent="0.3">
      <c r="A14" t="s">
        <v>10</v>
      </c>
      <c r="B14" s="2">
        <v>14867</v>
      </c>
      <c r="C14" t="s">
        <v>8</v>
      </c>
      <c r="D14" t="s">
        <v>6</v>
      </c>
    </row>
    <row r="15" spans="1:13" hidden="1" x14ac:dyDescent="0.3">
      <c r="A15" t="s">
        <v>10</v>
      </c>
      <c r="B15" s="2">
        <v>19302</v>
      </c>
      <c r="C15" t="s">
        <v>5</v>
      </c>
      <c r="D15" t="s">
        <v>9</v>
      </c>
    </row>
    <row r="16" spans="1:13" x14ac:dyDescent="0.3">
      <c r="A16" t="s">
        <v>15</v>
      </c>
      <c r="D16">
        <f>SUBTOTAL(103,Table1[Quarter])</f>
        <v>8</v>
      </c>
      <c r="J16" t="s">
        <v>0</v>
      </c>
      <c r="K16" t="s">
        <v>1</v>
      </c>
      <c r="L16" t="s">
        <v>2</v>
      </c>
      <c r="M16" t="s">
        <v>3</v>
      </c>
    </row>
    <row r="17" spans="1:13" x14ac:dyDescent="0.3">
      <c r="J17" s="3" t="s">
        <v>4</v>
      </c>
      <c r="K17" s="10">
        <v>16753</v>
      </c>
      <c r="L17" s="4" t="s">
        <v>5</v>
      </c>
      <c r="M17" s="5" t="s">
        <v>6</v>
      </c>
    </row>
    <row r="18" spans="1:13" x14ac:dyDescent="0.3">
      <c r="A18" s="1" t="s">
        <v>0</v>
      </c>
      <c r="B18" s="1" t="s">
        <v>1</v>
      </c>
      <c r="C18" s="1" t="s">
        <v>2</v>
      </c>
      <c r="D18" s="1" t="s">
        <v>3</v>
      </c>
      <c r="F18" s="9" t="s">
        <v>16</v>
      </c>
      <c r="G18" s="9">
        <f>ROWS(SalesData[])</f>
        <v>14</v>
      </c>
      <c r="J18" s="6" t="s">
        <v>7</v>
      </c>
      <c r="K18" s="11">
        <v>14808</v>
      </c>
      <c r="L18" s="7" t="s">
        <v>8</v>
      </c>
      <c r="M18" s="8" t="s">
        <v>9</v>
      </c>
    </row>
    <row r="19" spans="1:13" x14ac:dyDescent="0.3">
      <c r="A19" t="s">
        <v>4</v>
      </c>
      <c r="B19" s="2">
        <v>16753</v>
      </c>
      <c r="C19" t="s">
        <v>5</v>
      </c>
      <c r="D19" t="s">
        <v>6</v>
      </c>
      <c r="J19" s="3" t="s">
        <v>10</v>
      </c>
      <c r="K19" s="10">
        <v>10644</v>
      </c>
      <c r="L19" s="4" t="s">
        <v>5</v>
      </c>
      <c r="M19" s="5" t="s">
        <v>11</v>
      </c>
    </row>
    <row r="20" spans="1:13" x14ac:dyDescent="0.3">
      <c r="A20" t="s">
        <v>7</v>
      </c>
      <c r="B20" s="2">
        <v>14808</v>
      </c>
      <c r="C20" t="s">
        <v>8</v>
      </c>
      <c r="D20" t="s">
        <v>9</v>
      </c>
      <c r="J20" s="6" t="s">
        <v>12</v>
      </c>
      <c r="K20" s="11">
        <v>1390</v>
      </c>
      <c r="L20" s="7" t="s">
        <v>8</v>
      </c>
      <c r="M20" s="8" t="s">
        <v>6</v>
      </c>
    </row>
    <row r="21" spans="1:13" x14ac:dyDescent="0.3">
      <c r="A21" t="s">
        <v>10</v>
      </c>
      <c r="B21" s="2">
        <v>10644</v>
      </c>
      <c r="C21" t="s">
        <v>5</v>
      </c>
      <c r="D21" t="s">
        <v>11</v>
      </c>
      <c r="J21" s="3" t="s">
        <v>13</v>
      </c>
      <c r="K21" s="10">
        <v>4865</v>
      </c>
      <c r="L21" s="4" t="s">
        <v>8</v>
      </c>
      <c r="M21" s="5" t="s">
        <v>9</v>
      </c>
    </row>
    <row r="22" spans="1:13" x14ac:dyDescent="0.3">
      <c r="A22" t="s">
        <v>12</v>
      </c>
      <c r="B22" s="2">
        <v>1390</v>
      </c>
      <c r="C22" t="s">
        <v>8</v>
      </c>
      <c r="D22" t="s">
        <v>6</v>
      </c>
      <c r="J22" s="6" t="s">
        <v>10</v>
      </c>
      <c r="K22" s="11">
        <v>12438</v>
      </c>
      <c r="L22" s="7" t="s">
        <v>5</v>
      </c>
      <c r="M22" s="8" t="s">
        <v>14</v>
      </c>
    </row>
    <row r="23" spans="1:13" x14ac:dyDescent="0.3">
      <c r="A23" t="s">
        <v>13</v>
      </c>
      <c r="B23" s="2">
        <v>4865</v>
      </c>
      <c r="C23" t="s">
        <v>8</v>
      </c>
      <c r="D23" t="s">
        <v>9</v>
      </c>
      <c r="J23" s="3" t="s">
        <v>7</v>
      </c>
      <c r="K23" s="10">
        <v>9339</v>
      </c>
      <c r="L23" s="4" t="s">
        <v>5</v>
      </c>
      <c r="M23" s="5" t="s">
        <v>11</v>
      </c>
    </row>
    <row r="24" spans="1:13" x14ac:dyDescent="0.3">
      <c r="A24" t="s">
        <v>10</v>
      </c>
      <c r="B24" s="2">
        <v>12438</v>
      </c>
      <c r="C24" t="s">
        <v>5</v>
      </c>
      <c r="D24" t="s">
        <v>14</v>
      </c>
      <c r="J24" s="6" t="s">
        <v>4</v>
      </c>
      <c r="K24" s="11">
        <v>18919</v>
      </c>
      <c r="L24" s="7" t="s">
        <v>8</v>
      </c>
      <c r="M24" s="8" t="s">
        <v>6</v>
      </c>
    </row>
    <row r="25" spans="1:13" x14ac:dyDescent="0.3">
      <c r="A25" t="s">
        <v>7</v>
      </c>
      <c r="B25" s="2">
        <v>9339</v>
      </c>
      <c r="C25" t="s">
        <v>5</v>
      </c>
      <c r="D25" t="s">
        <v>11</v>
      </c>
      <c r="J25" s="3" t="s">
        <v>12</v>
      </c>
      <c r="K25" s="10">
        <v>9213</v>
      </c>
      <c r="L25" s="4" t="s">
        <v>8</v>
      </c>
      <c r="M25" s="5" t="s">
        <v>9</v>
      </c>
    </row>
    <row r="26" spans="1:13" x14ac:dyDescent="0.3">
      <c r="A26" t="s">
        <v>4</v>
      </c>
      <c r="B26" s="2">
        <v>18919</v>
      </c>
      <c r="C26" t="s">
        <v>8</v>
      </c>
      <c r="D26" t="s">
        <v>6</v>
      </c>
      <c r="J26" s="6" t="s">
        <v>12</v>
      </c>
      <c r="K26" s="11">
        <v>7433</v>
      </c>
      <c r="L26" s="7" t="s">
        <v>5</v>
      </c>
      <c r="M26" s="8" t="s">
        <v>14</v>
      </c>
    </row>
    <row r="27" spans="1:13" x14ac:dyDescent="0.3">
      <c r="A27" t="s">
        <v>12</v>
      </c>
      <c r="B27" s="2">
        <v>9213</v>
      </c>
      <c r="C27" t="s">
        <v>8</v>
      </c>
      <c r="D27" t="s">
        <v>9</v>
      </c>
      <c r="J27" s="3" t="s">
        <v>13</v>
      </c>
      <c r="K27" s="10">
        <v>3255</v>
      </c>
      <c r="L27" s="4" t="s">
        <v>8</v>
      </c>
      <c r="M27" s="5" t="s">
        <v>11</v>
      </c>
    </row>
    <row r="28" spans="1:13" x14ac:dyDescent="0.3">
      <c r="A28" t="s">
        <v>12</v>
      </c>
      <c r="B28" s="2">
        <v>7433</v>
      </c>
      <c r="C28" t="s">
        <v>5</v>
      </c>
      <c r="D28" t="s">
        <v>14</v>
      </c>
      <c r="J28" s="6" t="s">
        <v>10</v>
      </c>
      <c r="K28" s="11">
        <v>14867</v>
      </c>
      <c r="L28" s="7" t="s">
        <v>8</v>
      </c>
      <c r="M28" s="8" t="s">
        <v>6</v>
      </c>
    </row>
    <row r="29" spans="1:13" x14ac:dyDescent="0.3">
      <c r="A29" t="s">
        <v>13</v>
      </c>
      <c r="B29" s="2">
        <v>3255</v>
      </c>
      <c r="C29" t="s">
        <v>8</v>
      </c>
      <c r="D29" t="s">
        <v>11</v>
      </c>
      <c r="J29" s="3" t="s">
        <v>10</v>
      </c>
      <c r="K29" s="10">
        <v>19302</v>
      </c>
      <c r="L29" s="4" t="s">
        <v>5</v>
      </c>
      <c r="M29" s="5" t="s">
        <v>9</v>
      </c>
    </row>
    <row r="30" spans="1:13" x14ac:dyDescent="0.3">
      <c r="A30" t="s">
        <v>10</v>
      </c>
      <c r="B30" s="2">
        <v>14867</v>
      </c>
      <c r="C30" t="s">
        <v>8</v>
      </c>
      <c r="D30" t="s">
        <v>6</v>
      </c>
      <c r="J30" s="12" t="s">
        <v>4</v>
      </c>
      <c r="K30" s="13">
        <v>9698</v>
      </c>
      <c r="L30" s="14" t="s">
        <v>8</v>
      </c>
      <c r="M30" s="15" t="s">
        <v>14</v>
      </c>
    </row>
    <row r="31" spans="1:13" x14ac:dyDescent="0.3">
      <c r="A31" t="s">
        <v>10</v>
      </c>
      <c r="B31" s="2">
        <v>19302</v>
      </c>
      <c r="C31" t="s">
        <v>5</v>
      </c>
      <c r="D31" t="s">
        <v>9</v>
      </c>
      <c r="J31" s="12" t="s">
        <v>17</v>
      </c>
      <c r="K31" s="13" t="s">
        <v>18</v>
      </c>
      <c r="L31" s="14" t="s">
        <v>19</v>
      </c>
      <c r="M31" s="15" t="s">
        <v>14</v>
      </c>
    </row>
    <row r="32" spans="1:13" x14ac:dyDescent="0.3">
      <c r="A32" t="s">
        <v>4</v>
      </c>
      <c r="B32" s="2">
        <v>9698</v>
      </c>
      <c r="C32" t="s">
        <v>8</v>
      </c>
      <c r="D32" t="s">
        <v>14</v>
      </c>
      <c r="J32" s="16" t="s">
        <v>15</v>
      </c>
      <c r="M32" s="17">
        <f>SUBTOTAL(103,Table3[Quarter])</f>
        <v>15</v>
      </c>
    </row>
    <row r="33" spans="1:4" x14ac:dyDescent="0.3">
      <c r="A33" t="s">
        <v>15</v>
      </c>
      <c r="B33" s="2">
        <f>SUBTOTAL(109,SalesData[Sales])</f>
        <v>152924</v>
      </c>
      <c r="D33">
        <f>SUBTOTAL(103,SalesData[Quarter])</f>
        <v>14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EA129-F943-4063-BC9C-89BCE6993F78}">
  <dimension ref="A1:E17"/>
  <sheetViews>
    <sheetView workbookViewId="0">
      <selection activeCell="E27" sqref="E27"/>
    </sheetView>
  </sheetViews>
  <sheetFormatPr defaultRowHeight="14.4" x14ac:dyDescent="0.3"/>
  <cols>
    <col min="1" max="1" width="11.6640625" customWidth="1"/>
    <col min="2" max="2" width="11.44140625" bestFit="1" customWidth="1"/>
    <col min="3" max="3" width="9.6640625" customWidth="1"/>
    <col min="4" max="4" width="9.33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20</v>
      </c>
    </row>
    <row r="2" spans="1:5" x14ac:dyDescent="0.3">
      <c r="A2" t="s">
        <v>4</v>
      </c>
      <c r="B2" s="2">
        <v>16753</v>
      </c>
      <c r="C2" t="s">
        <v>5</v>
      </c>
      <c r="D2" t="s">
        <v>6</v>
      </c>
      <c r="E2">
        <f>0.02*Table4[[#This Row],[Sales]]</f>
        <v>335.06</v>
      </c>
    </row>
    <row r="3" spans="1:5" x14ac:dyDescent="0.3">
      <c r="A3" t="s">
        <v>7</v>
      </c>
      <c r="B3" s="2">
        <v>14808</v>
      </c>
      <c r="C3" t="s">
        <v>8</v>
      </c>
      <c r="D3" t="s">
        <v>9</v>
      </c>
      <c r="E3">
        <f>0.02*Table4[[#This Row],[Sales]]</f>
        <v>296.16000000000003</v>
      </c>
    </row>
    <row r="4" spans="1:5" x14ac:dyDescent="0.3">
      <c r="A4" t="s">
        <v>10</v>
      </c>
      <c r="B4" s="2">
        <v>10644</v>
      </c>
      <c r="C4" t="s">
        <v>5</v>
      </c>
      <c r="D4" t="s">
        <v>11</v>
      </c>
      <c r="E4">
        <f>0.02*Table4[[#This Row],[Sales]]</f>
        <v>212.88</v>
      </c>
    </row>
    <row r="5" spans="1:5" x14ac:dyDescent="0.3">
      <c r="A5" t="s">
        <v>12</v>
      </c>
      <c r="B5" s="2">
        <v>1390</v>
      </c>
      <c r="C5" t="s">
        <v>8</v>
      </c>
      <c r="D5" t="s">
        <v>6</v>
      </c>
      <c r="E5">
        <f>0.02*Table4[[#This Row],[Sales]]</f>
        <v>27.8</v>
      </c>
    </row>
    <row r="6" spans="1:5" x14ac:dyDescent="0.3">
      <c r="A6" t="s">
        <v>13</v>
      </c>
      <c r="B6" s="2">
        <v>4865</v>
      </c>
      <c r="C6" t="s">
        <v>8</v>
      </c>
      <c r="D6" t="s">
        <v>9</v>
      </c>
      <c r="E6">
        <f>0.02*Table4[[#This Row],[Sales]]</f>
        <v>97.3</v>
      </c>
    </row>
    <row r="7" spans="1:5" x14ac:dyDescent="0.3">
      <c r="A7" t="s">
        <v>10</v>
      </c>
      <c r="B7" s="2">
        <v>12438</v>
      </c>
      <c r="C7" t="s">
        <v>5</v>
      </c>
      <c r="D7" t="s">
        <v>14</v>
      </c>
      <c r="E7">
        <f>0.02*Table4[[#This Row],[Sales]]</f>
        <v>248.76000000000002</v>
      </c>
    </row>
    <row r="8" spans="1:5" x14ac:dyDescent="0.3">
      <c r="A8" t="s">
        <v>7</v>
      </c>
      <c r="B8" s="2">
        <v>9339</v>
      </c>
      <c r="C8" t="s">
        <v>5</v>
      </c>
      <c r="D8" t="s">
        <v>11</v>
      </c>
      <c r="E8">
        <f>0.02*Table4[[#This Row],[Sales]]</f>
        <v>186.78</v>
      </c>
    </row>
    <row r="9" spans="1:5" x14ac:dyDescent="0.3">
      <c r="A9" t="s">
        <v>4</v>
      </c>
      <c r="B9" s="2">
        <v>18919</v>
      </c>
      <c r="C9" t="s">
        <v>8</v>
      </c>
      <c r="D9" t="s">
        <v>6</v>
      </c>
      <c r="E9">
        <f>0.02*Table4[[#This Row],[Sales]]</f>
        <v>378.38</v>
      </c>
    </row>
    <row r="10" spans="1:5" x14ac:dyDescent="0.3">
      <c r="A10" t="s">
        <v>12</v>
      </c>
      <c r="B10" s="2">
        <v>9213</v>
      </c>
      <c r="C10" t="s">
        <v>8</v>
      </c>
      <c r="D10" t="s">
        <v>9</v>
      </c>
      <c r="E10">
        <f>0.02*Table4[[#This Row],[Sales]]</f>
        <v>184.26</v>
      </c>
    </row>
    <row r="11" spans="1:5" x14ac:dyDescent="0.3">
      <c r="A11" t="s">
        <v>12</v>
      </c>
      <c r="B11" s="2">
        <v>7433</v>
      </c>
      <c r="C11" t="s">
        <v>5</v>
      </c>
      <c r="D11" t="s">
        <v>14</v>
      </c>
      <c r="E11">
        <f>0.02*Table4[[#This Row],[Sales]]</f>
        <v>148.66</v>
      </c>
    </row>
    <row r="12" spans="1:5" x14ac:dyDescent="0.3">
      <c r="A12" t="s">
        <v>13</v>
      </c>
      <c r="B12" s="2">
        <v>3255</v>
      </c>
      <c r="C12" t="s">
        <v>8</v>
      </c>
      <c r="D12" t="s">
        <v>11</v>
      </c>
      <c r="E12">
        <f>0.02*Table4[[#This Row],[Sales]]</f>
        <v>65.099999999999994</v>
      </c>
    </row>
    <row r="13" spans="1:5" x14ac:dyDescent="0.3">
      <c r="A13" t="s">
        <v>10</v>
      </c>
      <c r="B13" s="2">
        <v>14867</v>
      </c>
      <c r="C13" t="s">
        <v>8</v>
      </c>
      <c r="D13" t="s">
        <v>6</v>
      </c>
      <c r="E13">
        <f>0.02*Table4[[#This Row],[Sales]]</f>
        <v>297.34000000000003</v>
      </c>
    </row>
    <row r="14" spans="1:5" x14ac:dyDescent="0.3">
      <c r="A14" t="s">
        <v>10</v>
      </c>
      <c r="B14" s="2">
        <v>19302</v>
      </c>
      <c r="C14" t="s">
        <v>5</v>
      </c>
      <c r="D14" t="s">
        <v>9</v>
      </c>
      <c r="E14">
        <f>0.02*Table4[[#This Row],[Sales]]</f>
        <v>386.04</v>
      </c>
    </row>
    <row r="15" spans="1:5" x14ac:dyDescent="0.3">
      <c r="A15" t="s">
        <v>4</v>
      </c>
      <c r="B15" s="2">
        <v>9698</v>
      </c>
      <c r="C15" t="s">
        <v>8</v>
      </c>
      <c r="D15" t="s">
        <v>14</v>
      </c>
      <c r="E15">
        <f>0.02*Table4[[#This Row],[Sales]]</f>
        <v>193.96</v>
      </c>
    </row>
    <row r="17" spans="2:2" x14ac:dyDescent="0.3">
      <c r="B17" s="2">
        <f>SUM(Table4[Sales])</f>
        <v>152924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65266-8F37-415B-98F6-359724C8CEFF}">
  <dimension ref="A1:I15"/>
  <sheetViews>
    <sheetView workbookViewId="0">
      <selection activeCell="G19" sqref="G19"/>
    </sheetView>
  </sheetViews>
  <sheetFormatPr defaultRowHeight="14.4" x14ac:dyDescent="0.3"/>
  <cols>
    <col min="1" max="1" width="11.6640625" customWidth="1"/>
    <col min="2" max="2" width="10" bestFit="1" customWidth="1"/>
    <col min="3" max="3" width="9.6640625" customWidth="1"/>
    <col min="4" max="4" width="9.33203125" customWidth="1"/>
    <col min="7" max="7" width="10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F1" t="s">
        <v>0</v>
      </c>
      <c r="G1" t="s">
        <v>1</v>
      </c>
      <c r="H1" t="s">
        <v>2</v>
      </c>
      <c r="I1" t="s">
        <v>3</v>
      </c>
    </row>
    <row r="2" spans="1:9" x14ac:dyDescent="0.3">
      <c r="A2" t="s">
        <v>4</v>
      </c>
      <c r="B2" s="2">
        <v>16753</v>
      </c>
      <c r="C2" t="s">
        <v>5</v>
      </c>
      <c r="D2" t="s">
        <v>6</v>
      </c>
      <c r="F2" t="s">
        <v>4</v>
      </c>
      <c r="G2" s="2">
        <v>16753</v>
      </c>
      <c r="H2" t="s">
        <v>5</v>
      </c>
      <c r="I2" t="s">
        <v>6</v>
      </c>
    </row>
    <row r="3" spans="1:9" x14ac:dyDescent="0.3">
      <c r="A3" t="s">
        <v>7</v>
      </c>
      <c r="B3" s="2">
        <v>14808</v>
      </c>
      <c r="C3" t="s">
        <v>8</v>
      </c>
      <c r="D3" t="s">
        <v>9</v>
      </c>
      <c r="F3" t="s">
        <v>7</v>
      </c>
      <c r="G3" s="2">
        <v>14808</v>
      </c>
      <c r="H3" t="s">
        <v>8</v>
      </c>
      <c r="I3" t="s">
        <v>9</v>
      </c>
    </row>
    <row r="4" spans="1:9" x14ac:dyDescent="0.3">
      <c r="A4" t="s">
        <v>10</v>
      </c>
      <c r="B4" s="2">
        <v>10644</v>
      </c>
      <c r="C4" t="s">
        <v>5</v>
      </c>
      <c r="D4" t="s">
        <v>11</v>
      </c>
      <c r="F4" t="s">
        <v>10</v>
      </c>
      <c r="G4" s="2">
        <v>10644</v>
      </c>
      <c r="H4" t="s">
        <v>5</v>
      </c>
      <c r="I4" t="s">
        <v>11</v>
      </c>
    </row>
    <row r="5" spans="1:9" x14ac:dyDescent="0.3">
      <c r="A5" t="s">
        <v>12</v>
      </c>
      <c r="B5" s="2">
        <v>1390</v>
      </c>
      <c r="C5" t="s">
        <v>8</v>
      </c>
      <c r="D5" t="s">
        <v>6</v>
      </c>
      <c r="F5" t="s">
        <v>12</v>
      </c>
      <c r="G5" s="2">
        <v>1390</v>
      </c>
      <c r="H5" t="s">
        <v>8</v>
      </c>
      <c r="I5" t="s">
        <v>6</v>
      </c>
    </row>
    <row r="6" spans="1:9" x14ac:dyDescent="0.3">
      <c r="A6" t="s">
        <v>13</v>
      </c>
      <c r="B6" s="2">
        <v>4865</v>
      </c>
      <c r="C6" t="s">
        <v>8</v>
      </c>
      <c r="D6" t="s">
        <v>9</v>
      </c>
      <c r="F6" t="s">
        <v>13</v>
      </c>
      <c r="G6" s="2">
        <v>4865</v>
      </c>
      <c r="H6" t="s">
        <v>8</v>
      </c>
      <c r="I6" t="s">
        <v>9</v>
      </c>
    </row>
    <row r="7" spans="1:9" x14ac:dyDescent="0.3">
      <c r="A7" t="s">
        <v>10</v>
      </c>
      <c r="B7" s="2">
        <v>12438</v>
      </c>
      <c r="C7" t="s">
        <v>5</v>
      </c>
      <c r="D7" t="s">
        <v>14</v>
      </c>
      <c r="F7" t="s">
        <v>10</v>
      </c>
      <c r="G7" s="2">
        <v>12438</v>
      </c>
      <c r="H7" t="s">
        <v>5</v>
      </c>
      <c r="I7" t="s">
        <v>14</v>
      </c>
    </row>
    <row r="8" spans="1:9" x14ac:dyDescent="0.3">
      <c r="A8" t="s">
        <v>7</v>
      </c>
      <c r="B8" s="2">
        <v>9339</v>
      </c>
      <c r="C8" t="s">
        <v>5</v>
      </c>
      <c r="D8" t="s">
        <v>11</v>
      </c>
      <c r="F8" t="s">
        <v>7</v>
      </c>
      <c r="G8" s="2">
        <v>9339</v>
      </c>
      <c r="H8" t="s">
        <v>5</v>
      </c>
      <c r="I8" t="s">
        <v>11</v>
      </c>
    </row>
    <row r="9" spans="1:9" x14ac:dyDescent="0.3">
      <c r="A9" t="s">
        <v>4</v>
      </c>
      <c r="B9" s="2">
        <v>18919</v>
      </c>
      <c r="C9" t="s">
        <v>8</v>
      </c>
      <c r="D9" t="s">
        <v>6</v>
      </c>
      <c r="F9" t="s">
        <v>4</v>
      </c>
      <c r="G9" s="2">
        <v>18919</v>
      </c>
      <c r="H9" t="s">
        <v>8</v>
      </c>
      <c r="I9" t="s">
        <v>6</v>
      </c>
    </row>
    <row r="10" spans="1:9" x14ac:dyDescent="0.3">
      <c r="A10" t="s">
        <v>12</v>
      </c>
      <c r="B10" s="2">
        <v>9213</v>
      </c>
      <c r="C10" t="s">
        <v>8</v>
      </c>
      <c r="D10" t="s">
        <v>9</v>
      </c>
      <c r="F10" t="s">
        <v>12</v>
      </c>
      <c r="G10" s="2">
        <v>9213</v>
      </c>
      <c r="H10" t="s">
        <v>8</v>
      </c>
      <c r="I10" t="s">
        <v>9</v>
      </c>
    </row>
    <row r="11" spans="1:9" x14ac:dyDescent="0.3">
      <c r="A11" t="s">
        <v>12</v>
      </c>
      <c r="B11" s="2">
        <v>7433</v>
      </c>
      <c r="C11" t="s">
        <v>5</v>
      </c>
      <c r="D11" t="s">
        <v>14</v>
      </c>
      <c r="F11" t="s">
        <v>12</v>
      </c>
      <c r="G11" s="2">
        <v>7433</v>
      </c>
      <c r="H11" t="s">
        <v>5</v>
      </c>
      <c r="I11" t="s">
        <v>14</v>
      </c>
    </row>
    <row r="12" spans="1:9" x14ac:dyDescent="0.3">
      <c r="A12" t="s">
        <v>13</v>
      </c>
      <c r="B12" s="2">
        <v>3255</v>
      </c>
      <c r="C12" t="s">
        <v>8</v>
      </c>
      <c r="D12" t="s">
        <v>11</v>
      </c>
      <c r="F12" t="s">
        <v>13</v>
      </c>
      <c r="G12" s="2">
        <v>3255</v>
      </c>
      <c r="H12" t="s">
        <v>8</v>
      </c>
      <c r="I12" t="s">
        <v>11</v>
      </c>
    </row>
    <row r="13" spans="1:9" x14ac:dyDescent="0.3">
      <c r="A13" t="s">
        <v>10</v>
      </c>
      <c r="B13" s="2">
        <v>14867</v>
      </c>
      <c r="C13" t="s">
        <v>8</v>
      </c>
      <c r="D13" t="s">
        <v>6</v>
      </c>
      <c r="F13" t="s">
        <v>10</v>
      </c>
      <c r="G13" s="2">
        <v>14867</v>
      </c>
      <c r="H13" t="s">
        <v>8</v>
      </c>
      <c r="I13" t="s">
        <v>6</v>
      </c>
    </row>
    <row r="14" spans="1:9" x14ac:dyDescent="0.3">
      <c r="A14" t="s">
        <v>10</v>
      </c>
      <c r="B14" s="2">
        <v>19302</v>
      </c>
      <c r="C14" t="s">
        <v>5</v>
      </c>
      <c r="D14" t="s">
        <v>9</v>
      </c>
      <c r="F14" t="s">
        <v>10</v>
      </c>
      <c r="G14" s="2">
        <v>19302</v>
      </c>
      <c r="H14" t="s">
        <v>5</v>
      </c>
      <c r="I14" t="s">
        <v>9</v>
      </c>
    </row>
    <row r="15" spans="1:9" x14ac:dyDescent="0.3">
      <c r="A15" t="s">
        <v>4</v>
      </c>
      <c r="B15" s="2">
        <v>9698</v>
      </c>
      <c r="C15" t="s">
        <v>8</v>
      </c>
      <c r="D15" t="s">
        <v>14</v>
      </c>
      <c r="F15" t="s">
        <v>4</v>
      </c>
      <c r="G15" s="2">
        <v>9698</v>
      </c>
      <c r="H15" t="s">
        <v>8</v>
      </c>
      <c r="I15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BD97B-EE7B-42E5-8E96-993BE984EBDF}">
  <dimension ref="A1:F7"/>
  <sheetViews>
    <sheetView workbookViewId="0">
      <selection activeCell="E22" sqref="E22"/>
    </sheetView>
  </sheetViews>
  <sheetFormatPr defaultRowHeight="14.4" x14ac:dyDescent="0.3"/>
  <cols>
    <col min="1" max="1" width="9.44140625" customWidth="1"/>
    <col min="3" max="3" width="13.5546875" customWidth="1"/>
    <col min="5" max="5" width="9.44140625" customWidth="1"/>
    <col min="6" max="6" width="13.5546875" customWidth="1"/>
  </cols>
  <sheetData>
    <row r="1" spans="1:6" x14ac:dyDescent="0.3">
      <c r="A1" t="s">
        <v>21</v>
      </c>
      <c r="B1" t="s">
        <v>22</v>
      </c>
      <c r="C1" t="s">
        <v>23</v>
      </c>
      <c r="E1" t="s">
        <v>21</v>
      </c>
      <c r="F1" t="s">
        <v>23</v>
      </c>
    </row>
    <row r="2" spans="1:6" x14ac:dyDescent="0.3">
      <c r="A2" t="s">
        <v>24</v>
      </c>
      <c r="B2" t="s">
        <v>30</v>
      </c>
      <c r="C2" t="str">
        <f>VLOOKUP(Table5[[#This Row],[country]],Table6[],2,FALSE)</f>
        <v>ind</v>
      </c>
      <c r="E2" t="s">
        <v>24</v>
      </c>
      <c r="F2" t="s">
        <v>37</v>
      </c>
    </row>
    <row r="3" spans="1:6" x14ac:dyDescent="0.3">
      <c r="A3" t="s">
        <v>25</v>
      </c>
      <c r="B3" t="s">
        <v>31</v>
      </c>
      <c r="C3" t="str">
        <f>VLOOKUP(Table5[[#This Row],[country]],Table6[],2,FALSE)</f>
        <v>rus</v>
      </c>
      <c r="E3" t="s">
        <v>25</v>
      </c>
      <c r="F3" t="s">
        <v>36</v>
      </c>
    </row>
    <row r="4" spans="1:6" x14ac:dyDescent="0.3">
      <c r="A4" t="s">
        <v>26</v>
      </c>
      <c r="B4" t="s">
        <v>32</v>
      </c>
      <c r="C4" t="str">
        <f>VLOOKUP(Table5[[#This Row],[country]],Table6[],2,FALSE)</f>
        <v>chn</v>
      </c>
      <c r="E4" t="s">
        <v>26</v>
      </c>
      <c r="F4" t="s">
        <v>38</v>
      </c>
    </row>
    <row r="5" spans="1:6" x14ac:dyDescent="0.3">
      <c r="A5" t="s">
        <v>27</v>
      </c>
      <c r="B5" t="s">
        <v>33</v>
      </c>
      <c r="C5" t="str">
        <f>VLOOKUP(Table5[[#This Row],[country]],Table6[],2,FALSE)</f>
        <v>nep</v>
      </c>
      <c r="E5" t="s">
        <v>27</v>
      </c>
      <c r="F5" t="s">
        <v>39</v>
      </c>
    </row>
    <row r="6" spans="1:6" x14ac:dyDescent="0.3">
      <c r="A6" t="s">
        <v>28</v>
      </c>
      <c r="B6" t="s">
        <v>34</v>
      </c>
      <c r="C6" t="str">
        <f>VLOOKUP(Table5[[#This Row],[country]],Table6[],2,FALSE)</f>
        <v>bhu</v>
      </c>
      <c r="E6" t="s">
        <v>28</v>
      </c>
      <c r="F6" t="s">
        <v>40</v>
      </c>
    </row>
    <row r="7" spans="1:6" x14ac:dyDescent="0.3">
      <c r="A7" t="s">
        <v>29</v>
      </c>
      <c r="B7" t="s">
        <v>35</v>
      </c>
      <c r="C7" t="str">
        <f>VLOOKUP(Table5[[#This Row],[country]],Table6[],2,FALSE)</f>
        <v>ban</v>
      </c>
      <c r="E7" t="s">
        <v>29</v>
      </c>
      <c r="F7" t="s">
        <v>41</v>
      </c>
    </row>
  </sheetData>
  <phoneticPr fontId="2" type="noConversion"/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23BCE-F7C4-44E3-A912-AE8B1BB6C2B6}">
  <dimension ref="A1:D13"/>
  <sheetViews>
    <sheetView workbookViewId="0">
      <selection sqref="A1:D13"/>
    </sheetView>
  </sheetViews>
  <sheetFormatPr defaultRowHeight="14.4" x14ac:dyDescent="0.3"/>
  <cols>
    <col min="3" max="3" width="10.109375" customWidth="1"/>
  </cols>
  <sheetData>
    <row r="1" spans="1:4" x14ac:dyDescent="0.3">
      <c r="A1" t="s">
        <v>42</v>
      </c>
      <c r="B1" t="s">
        <v>43</v>
      </c>
      <c r="C1" t="s">
        <v>44</v>
      </c>
      <c r="D1" t="s">
        <v>45</v>
      </c>
    </row>
    <row r="2" spans="1:4" x14ac:dyDescent="0.3">
      <c r="A2" t="s">
        <v>46</v>
      </c>
      <c r="B2">
        <v>10</v>
      </c>
      <c r="C2">
        <v>20</v>
      </c>
      <c r="D2">
        <v>30</v>
      </c>
    </row>
    <row r="3" spans="1:4" x14ac:dyDescent="0.3">
      <c r="A3" t="s">
        <v>47</v>
      </c>
      <c r="B3">
        <v>20</v>
      </c>
      <c r="C3">
        <v>10</v>
      </c>
      <c r="D3">
        <v>50</v>
      </c>
    </row>
    <row r="4" spans="1:4" x14ac:dyDescent="0.3">
      <c r="A4" t="s">
        <v>48</v>
      </c>
      <c r="B4">
        <v>30</v>
      </c>
      <c r="C4">
        <v>40</v>
      </c>
      <c r="D4">
        <v>40</v>
      </c>
    </row>
    <row r="5" spans="1:4" x14ac:dyDescent="0.3">
      <c r="A5" t="s">
        <v>49</v>
      </c>
      <c r="B5">
        <v>10</v>
      </c>
      <c r="C5">
        <v>50</v>
      </c>
      <c r="D5">
        <v>5</v>
      </c>
    </row>
    <row r="6" spans="1:4" x14ac:dyDescent="0.3">
      <c r="A6" t="s">
        <v>50</v>
      </c>
      <c r="B6">
        <v>50</v>
      </c>
      <c r="C6">
        <v>40</v>
      </c>
      <c r="D6">
        <v>60</v>
      </c>
    </row>
    <row r="7" spans="1:4" x14ac:dyDescent="0.3">
      <c r="A7" t="s">
        <v>51</v>
      </c>
      <c r="B7">
        <v>20</v>
      </c>
      <c r="C7">
        <v>30</v>
      </c>
      <c r="D7">
        <v>40</v>
      </c>
    </row>
    <row r="8" spans="1:4" x14ac:dyDescent="0.3">
      <c r="A8" t="s">
        <v>52</v>
      </c>
      <c r="B8">
        <v>30</v>
      </c>
      <c r="C8">
        <v>20</v>
      </c>
      <c r="D8">
        <v>20</v>
      </c>
    </row>
    <row r="9" spans="1:4" x14ac:dyDescent="0.3">
      <c r="A9" t="s">
        <v>53</v>
      </c>
      <c r="B9">
        <v>40</v>
      </c>
      <c r="C9">
        <v>50</v>
      </c>
      <c r="D9">
        <v>10</v>
      </c>
    </row>
    <row r="10" spans="1:4" x14ac:dyDescent="0.3">
      <c r="A10" t="s">
        <v>54</v>
      </c>
      <c r="B10">
        <v>50</v>
      </c>
      <c r="C10">
        <v>10</v>
      </c>
      <c r="D10">
        <v>20</v>
      </c>
    </row>
    <row r="11" spans="1:4" x14ac:dyDescent="0.3">
      <c r="A11" t="s">
        <v>55</v>
      </c>
      <c r="B11">
        <v>40</v>
      </c>
      <c r="C11">
        <v>30</v>
      </c>
      <c r="D11">
        <v>40</v>
      </c>
    </row>
    <row r="12" spans="1:4" x14ac:dyDescent="0.3">
      <c r="A12" t="s">
        <v>56</v>
      </c>
      <c r="B12">
        <v>10</v>
      </c>
      <c r="C12">
        <v>20</v>
      </c>
      <c r="D12">
        <v>50</v>
      </c>
    </row>
    <row r="13" spans="1:4" x14ac:dyDescent="0.3">
      <c r="A13" t="s">
        <v>57</v>
      </c>
      <c r="B13">
        <v>20</v>
      </c>
      <c r="C13">
        <v>10</v>
      </c>
      <c r="D13">
        <v>30</v>
      </c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81CAA-1CDB-481A-8CE4-F1B377AB79C1}">
  <dimension ref="A1:K14"/>
  <sheetViews>
    <sheetView tabSelected="1" workbookViewId="0">
      <selection activeCell="N18" sqref="N18"/>
    </sheetView>
  </sheetViews>
  <sheetFormatPr defaultRowHeight="14.4" x14ac:dyDescent="0.3"/>
  <sheetData>
    <row r="1" spans="1:11" x14ac:dyDescent="0.3">
      <c r="A1" t="s">
        <v>42</v>
      </c>
      <c r="B1" t="s">
        <v>43</v>
      </c>
      <c r="C1" t="s">
        <v>44</v>
      </c>
      <c r="D1" t="s">
        <v>45</v>
      </c>
      <c r="E1" s="1" t="s">
        <v>60</v>
      </c>
      <c r="H1" t="s">
        <v>42</v>
      </c>
      <c r="I1" t="s">
        <v>43</v>
      </c>
      <c r="J1" t="s">
        <v>44</v>
      </c>
      <c r="K1" t="s">
        <v>45</v>
      </c>
    </row>
    <row r="2" spans="1:11" x14ac:dyDescent="0.3">
      <c r="A2" t="s">
        <v>46</v>
      </c>
      <c r="B2">
        <v>10</v>
      </c>
      <c r="C2">
        <v>20</v>
      </c>
      <c r="D2">
        <v>30</v>
      </c>
      <c r="E2" s="1">
        <f>SUM($B$2:D2)</f>
        <v>60</v>
      </c>
      <c r="H2" t="s">
        <v>46</v>
      </c>
      <c r="I2">
        <v>10</v>
      </c>
      <c r="J2">
        <v>20</v>
      </c>
      <c r="K2">
        <v>30</v>
      </c>
    </row>
    <row r="3" spans="1:11" x14ac:dyDescent="0.3">
      <c r="A3" t="s">
        <v>47</v>
      </c>
      <c r="B3">
        <v>20</v>
      </c>
      <c r="C3">
        <v>10</v>
      </c>
      <c r="D3">
        <v>50</v>
      </c>
      <c r="E3" s="1">
        <f>SUM($B$2:D3)</f>
        <v>140</v>
      </c>
      <c r="H3" t="s">
        <v>47</v>
      </c>
      <c r="I3">
        <v>20</v>
      </c>
      <c r="J3">
        <v>10</v>
      </c>
      <c r="K3">
        <v>50</v>
      </c>
    </row>
    <row r="4" spans="1:11" x14ac:dyDescent="0.3">
      <c r="A4" t="s">
        <v>48</v>
      </c>
      <c r="B4">
        <v>30</v>
      </c>
      <c r="C4">
        <v>40</v>
      </c>
      <c r="D4">
        <v>40</v>
      </c>
      <c r="E4" s="1">
        <f>SUM($B$2:D4)</f>
        <v>250</v>
      </c>
      <c r="H4" t="s">
        <v>48</v>
      </c>
      <c r="I4">
        <v>30</v>
      </c>
      <c r="J4">
        <v>40</v>
      </c>
      <c r="K4">
        <v>40</v>
      </c>
    </row>
    <row r="5" spans="1:11" x14ac:dyDescent="0.3">
      <c r="A5" t="s">
        <v>49</v>
      </c>
      <c r="B5">
        <v>10</v>
      </c>
      <c r="C5">
        <v>50</v>
      </c>
      <c r="D5">
        <v>5</v>
      </c>
      <c r="E5" s="1">
        <f>SUM($B$2:D5)</f>
        <v>315</v>
      </c>
      <c r="H5" t="s">
        <v>49</v>
      </c>
      <c r="I5">
        <v>10</v>
      </c>
      <c r="J5">
        <v>50</v>
      </c>
      <c r="K5">
        <v>5</v>
      </c>
    </row>
    <row r="6" spans="1:11" x14ac:dyDescent="0.3">
      <c r="A6" t="s">
        <v>50</v>
      </c>
      <c r="B6">
        <v>50</v>
      </c>
      <c r="C6">
        <v>40</v>
      </c>
      <c r="D6">
        <v>60</v>
      </c>
      <c r="E6" s="1">
        <f>SUM($B$2:D6)</f>
        <v>465</v>
      </c>
      <c r="H6" t="s">
        <v>50</v>
      </c>
      <c r="I6">
        <v>50</v>
      </c>
      <c r="J6">
        <v>40</v>
      </c>
      <c r="K6">
        <v>60</v>
      </c>
    </row>
    <row r="7" spans="1:11" x14ac:dyDescent="0.3">
      <c r="A7" t="s">
        <v>51</v>
      </c>
      <c r="B7">
        <v>20</v>
      </c>
      <c r="C7">
        <v>30</v>
      </c>
      <c r="D7">
        <v>40</v>
      </c>
      <c r="E7" s="1">
        <f>SUM($B$2:D7)</f>
        <v>555</v>
      </c>
      <c r="H7" t="s">
        <v>51</v>
      </c>
      <c r="I7">
        <v>20</v>
      </c>
      <c r="J7">
        <v>30</v>
      </c>
      <c r="K7">
        <v>40</v>
      </c>
    </row>
    <row r="8" spans="1:11" x14ac:dyDescent="0.3">
      <c r="A8" t="s">
        <v>52</v>
      </c>
      <c r="B8">
        <v>30</v>
      </c>
      <c r="C8">
        <v>20</v>
      </c>
      <c r="D8">
        <v>20</v>
      </c>
      <c r="E8" s="1">
        <f>SUM($B$2:D8)</f>
        <v>625</v>
      </c>
      <c r="H8" t="s">
        <v>52</v>
      </c>
      <c r="I8">
        <v>30</v>
      </c>
      <c r="J8">
        <v>20</v>
      </c>
      <c r="K8">
        <v>20</v>
      </c>
    </row>
    <row r="9" spans="1:11" x14ac:dyDescent="0.3">
      <c r="A9" t="s">
        <v>53</v>
      </c>
      <c r="B9">
        <v>40</v>
      </c>
      <c r="C9">
        <v>50</v>
      </c>
      <c r="D9">
        <v>10</v>
      </c>
      <c r="E9" s="1">
        <f>SUM($B$2:D9)</f>
        <v>725</v>
      </c>
      <c r="H9" t="s">
        <v>53</v>
      </c>
      <c r="I9">
        <v>40</v>
      </c>
      <c r="J9">
        <v>50</v>
      </c>
      <c r="K9">
        <v>10</v>
      </c>
    </row>
    <row r="10" spans="1:11" x14ac:dyDescent="0.3">
      <c r="A10" t="s">
        <v>54</v>
      </c>
      <c r="B10">
        <v>50</v>
      </c>
      <c r="C10">
        <v>10</v>
      </c>
      <c r="D10">
        <v>20</v>
      </c>
      <c r="E10" s="1">
        <f>SUM($B$2:D10)</f>
        <v>805</v>
      </c>
      <c r="H10" t="s">
        <v>54</v>
      </c>
      <c r="I10">
        <v>50</v>
      </c>
      <c r="J10">
        <v>10</v>
      </c>
      <c r="K10">
        <v>20</v>
      </c>
    </row>
    <row r="11" spans="1:11" x14ac:dyDescent="0.3">
      <c r="A11" t="s">
        <v>55</v>
      </c>
      <c r="B11">
        <v>40</v>
      </c>
      <c r="C11">
        <v>30</v>
      </c>
      <c r="D11">
        <v>40</v>
      </c>
      <c r="E11" s="1">
        <f>SUM($B$2:D11)</f>
        <v>915</v>
      </c>
      <c r="H11" t="s">
        <v>55</v>
      </c>
      <c r="I11">
        <v>40</v>
      </c>
      <c r="J11">
        <v>30</v>
      </c>
      <c r="K11">
        <v>40</v>
      </c>
    </row>
    <row r="12" spans="1:11" x14ac:dyDescent="0.3">
      <c r="A12" t="s">
        <v>56</v>
      </c>
      <c r="B12">
        <v>10</v>
      </c>
      <c r="C12">
        <v>20</v>
      </c>
      <c r="D12">
        <v>50</v>
      </c>
      <c r="E12" s="1">
        <f>SUM($B$2:D12)</f>
        <v>995</v>
      </c>
      <c r="H12" t="s">
        <v>56</v>
      </c>
      <c r="I12">
        <v>10</v>
      </c>
      <c r="J12">
        <v>20</v>
      </c>
      <c r="K12">
        <v>50</v>
      </c>
    </row>
    <row r="13" spans="1:11" x14ac:dyDescent="0.3">
      <c r="A13" t="s">
        <v>57</v>
      </c>
      <c r="B13">
        <v>20</v>
      </c>
      <c r="C13">
        <v>10</v>
      </c>
      <c r="D13">
        <v>30</v>
      </c>
      <c r="E13" s="1">
        <f>SUM($B$2:D13)</f>
        <v>1055</v>
      </c>
      <c r="H13" t="s">
        <v>57</v>
      </c>
      <c r="I13">
        <v>20</v>
      </c>
      <c r="J13">
        <v>10</v>
      </c>
      <c r="K13">
        <v>30</v>
      </c>
    </row>
    <row r="14" spans="1:11" x14ac:dyDescent="0.3">
      <c r="A14" s="1" t="s">
        <v>58</v>
      </c>
      <c r="B14" s="1">
        <f t="shared" ref="B14:D14" si="0">SUM(B2:B13)</f>
        <v>330</v>
      </c>
      <c r="C14" s="1">
        <f t="shared" si="0"/>
        <v>330</v>
      </c>
      <c r="D14" s="1">
        <f t="shared" si="0"/>
        <v>395</v>
      </c>
    </row>
  </sheetData>
  <conditionalFormatting sqref="I2:K13">
    <cfRule type="cellIs" dxfId="0" priority="1" operator="greaterThan">
      <formula>30</formula>
    </cfRule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span" xr2:uid="{1899A52C-A6AC-4585-A9D5-D7DDE8402F4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QuickToolsAnalysis!I2:K2</xm:f>
              <xm:sqref>L2</xm:sqref>
            </x14:sparkline>
            <x14:sparkline>
              <xm:f>QuickToolsAnalysis!I3:K3</xm:f>
              <xm:sqref>L3</xm:sqref>
            </x14:sparkline>
            <x14:sparkline>
              <xm:f>QuickToolsAnalysis!I4:K4</xm:f>
              <xm:sqref>L4</xm:sqref>
            </x14:sparkline>
            <x14:sparkline>
              <xm:f>QuickToolsAnalysis!I5:K5</xm:f>
              <xm:sqref>L5</xm:sqref>
            </x14:sparkline>
            <x14:sparkline>
              <xm:f>QuickToolsAnalysis!I6:K6</xm:f>
              <xm:sqref>L6</xm:sqref>
            </x14:sparkline>
            <x14:sparkline>
              <xm:f>QuickToolsAnalysis!I7:K7</xm:f>
              <xm:sqref>L7</xm:sqref>
            </x14:sparkline>
            <x14:sparkline>
              <xm:f>QuickToolsAnalysis!I8:K8</xm:f>
              <xm:sqref>L8</xm:sqref>
            </x14:sparkline>
            <x14:sparkline>
              <xm:f>QuickToolsAnalysis!I9:K9</xm:f>
              <xm:sqref>L9</xm:sqref>
            </x14:sparkline>
            <x14:sparkline>
              <xm:f>QuickToolsAnalysis!I10:K10</xm:f>
              <xm:sqref>L10</xm:sqref>
            </x14:sparkline>
            <x14:sparkline>
              <xm:f>QuickToolsAnalysis!I11:K11</xm:f>
              <xm:sqref>L11</xm:sqref>
            </x14:sparkline>
            <x14:sparkline>
              <xm:f>QuickToolsAnalysis!I12:K12</xm:f>
              <xm:sqref>L12</xm:sqref>
            </x14:sparkline>
            <x14:sparkline>
              <xm:f>QuickToolsAnalysis!I13:K13</xm:f>
              <xm:sqref>L13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TablesBasic</vt:lpstr>
      <vt:lpstr>StructuredReference</vt:lpstr>
      <vt:lpstr>RemoveFormatting</vt:lpstr>
      <vt:lpstr>MergeTables</vt:lpstr>
      <vt:lpstr>ChartTable</vt:lpstr>
      <vt:lpstr>QuickToolsAnalysis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</dc:creator>
  <cp:lastModifiedBy>govindparab09@outlook.com</cp:lastModifiedBy>
  <dcterms:created xsi:type="dcterms:W3CDTF">2015-06-05T18:17:20Z</dcterms:created>
  <dcterms:modified xsi:type="dcterms:W3CDTF">2026-02-05T12:02:16Z</dcterms:modified>
</cp:coreProperties>
</file>