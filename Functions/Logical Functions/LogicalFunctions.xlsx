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f817dbf12b6dcf0/Desktop/Logical Functions/"/>
    </mc:Choice>
  </mc:AlternateContent>
  <xr:revisionPtr revIDLastSave="383" documentId="11_F25DC773A252ABDACC1048C9A1DF6BC05ADE58E5" xr6:coauthVersionLast="47" xr6:coauthVersionMax="47" xr10:uidLastSave="{60836B9E-379C-4F01-A46C-76CCEB848E27}"/>
  <bookViews>
    <workbookView xWindow="-108" yWindow="-108" windowWidth="23256" windowHeight="12456" activeTab="2" xr2:uid="{00000000-000D-0000-FFFF-FFFF00000000}"/>
  </bookViews>
  <sheets>
    <sheet name="IFORANDXORIFS" sheetId="1" r:id="rId1"/>
    <sheet name="SearchSpecificText" sheetId="2" r:id="rId2"/>
    <sheet name="ABSSWITC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3" l="1" a="1"/>
  <c r="Q6" i="3"/>
  <c r="Q3" i="3" a="1"/>
  <c r="Q3" i="3"/>
  <c r="Q4" i="3" a="1"/>
  <c r="Q4" i="3"/>
  <c r="Q5" i="3" a="1"/>
  <c r="Q5" i="3"/>
  <c r="Q2" i="3" a="1"/>
  <c r="Q2" i="3" s="1"/>
  <c r="L2" i="3" a="1"/>
  <c r="L2" i="3"/>
  <c r="L3" i="3" a="1"/>
  <c r="L3" i="3"/>
  <c r="L4" i="3" a="1"/>
  <c r="L4" i="3"/>
  <c r="L5" i="3" a="1"/>
  <c r="L5" i="3"/>
  <c r="L6" i="3" a="1"/>
  <c r="L6" i="3"/>
  <c r="L7" i="3" a="1"/>
  <c r="L7" i="3"/>
  <c r="L1" i="3" a="1"/>
  <c r="L1" i="3" s="1"/>
  <c r="G7" i="3"/>
  <c r="G8" i="3"/>
  <c r="G9" i="3"/>
  <c r="G10" i="3"/>
  <c r="G6" i="3"/>
  <c r="C6" i="3" a="1"/>
  <c r="C6" i="3" s="1"/>
  <c r="D6" i="3" a="1"/>
  <c r="D6" i="3" s="1"/>
  <c r="C7" i="3" a="1"/>
  <c r="C7" i="3"/>
  <c r="C8" i="3" a="1"/>
  <c r="C8" i="3"/>
  <c r="C9" i="3" a="1"/>
  <c r="C9" i="3" s="1"/>
  <c r="C10" i="3" a="1"/>
  <c r="C10" i="3"/>
  <c r="A4" i="3"/>
  <c r="B2" i="3"/>
  <c r="B1" i="3"/>
  <c r="S5" i="1" a="1"/>
  <c r="S5" i="1" s="1"/>
  <c r="S6" i="1" a="1"/>
  <c r="S6" i="1"/>
  <c r="S7" i="1" a="1"/>
  <c r="S7" i="1"/>
  <c r="S4" i="1" a="1"/>
  <c r="S4" i="1" s="1"/>
  <c r="S3" i="1" a="1"/>
  <c r="S3" i="1"/>
  <c r="S2" i="1" a="1"/>
  <c r="S2" i="1" s="1"/>
  <c r="S1" i="1" a="1"/>
  <c r="S1" i="1" s="1"/>
  <c r="G2" i="2"/>
  <c r="G3" i="2"/>
  <c r="G4" i="2"/>
  <c r="G5" i="2"/>
  <c r="G6" i="2"/>
  <c r="G1" i="2"/>
  <c r="F2" i="2"/>
  <c r="F3" i="2"/>
  <c r="F4" i="2"/>
  <c r="F5" i="2"/>
  <c r="F6" i="2"/>
  <c r="F1" i="2"/>
  <c r="D6" i="2"/>
  <c r="E6" i="2"/>
  <c r="D5" i="2"/>
  <c r="E5" i="2"/>
  <c r="E2" i="2"/>
  <c r="E3" i="2"/>
  <c r="E4" i="2"/>
  <c r="E1" i="2"/>
  <c r="D2" i="2"/>
  <c r="D3" i="2"/>
  <c r="D4" i="2"/>
  <c r="D1" i="2"/>
  <c r="D25" i="1"/>
  <c r="C25" i="1"/>
  <c r="B25" i="1"/>
  <c r="A25" i="1"/>
  <c r="Q19" i="1"/>
  <c r="Q20" i="1"/>
  <c r="Q21" i="1"/>
  <c r="Q18" i="1"/>
  <c r="J18" i="1"/>
  <c r="J19" i="1"/>
  <c r="J20" i="1"/>
  <c r="J21" i="1"/>
  <c r="J22" i="1"/>
  <c r="J23" i="1"/>
  <c r="J24" i="1"/>
  <c r="J17" i="1"/>
  <c r="B19" i="1" a="1"/>
  <c r="B19" i="1" s="1"/>
  <c r="C19" i="1" a="1"/>
  <c r="C19" i="1"/>
  <c r="D19" i="1" a="1"/>
  <c r="D19" i="1" s="1"/>
  <c r="E19" i="1" a="1"/>
  <c r="E19" i="1" s="1"/>
  <c r="F19" i="1" a="1"/>
  <c r="F19" i="1"/>
  <c r="A19" i="1" a="1"/>
  <c r="A19" i="1" s="1"/>
  <c r="P6" i="1"/>
  <c r="P5" i="1"/>
  <c r="P2" i="1"/>
  <c r="O10" i="1"/>
  <c r="O11" i="1"/>
  <c r="O12" i="1"/>
  <c r="O13" i="1"/>
  <c r="O9" i="1"/>
  <c r="K10" i="1"/>
  <c r="K11" i="1"/>
  <c r="K12" i="1"/>
  <c r="K13" i="1"/>
  <c r="K9" i="1"/>
  <c r="G10" i="1"/>
  <c r="G11" i="1"/>
  <c r="G12" i="1"/>
  <c r="G13" i="1"/>
  <c r="G9" i="1"/>
  <c r="C10" i="1"/>
  <c r="C11" i="1"/>
  <c r="C12" i="1"/>
  <c r="C13" i="1"/>
  <c r="C9" i="1"/>
  <c r="O3" i="1"/>
  <c r="P3" i="1" s="1"/>
  <c r="O4" i="1"/>
  <c r="P4" i="1" s="1"/>
  <c r="O5" i="1"/>
  <c r="O6" i="1"/>
  <c r="O2" i="1"/>
  <c r="K3" i="1"/>
  <c r="K4" i="1"/>
  <c r="K5" i="1"/>
  <c r="K6" i="1"/>
  <c r="K2" i="1"/>
  <c r="G3" i="1"/>
  <c r="G4" i="1"/>
  <c r="G5" i="1"/>
  <c r="G6" i="1"/>
  <c r="G2" i="1"/>
  <c r="C3" i="1"/>
  <c r="C4" i="1"/>
  <c r="C5" i="1"/>
  <c r="C6" i="1"/>
  <c r="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<sst xmlns="http://schemas.openxmlformats.org/spreadsheetml/2006/main" count="135" uniqueCount="79">
  <si>
    <t>Name</t>
  </si>
  <si>
    <t>Marks</t>
  </si>
  <si>
    <t>Result</t>
  </si>
  <si>
    <t>india</t>
  </si>
  <si>
    <t>russia</t>
  </si>
  <si>
    <t>china</t>
  </si>
  <si>
    <t>nepal</t>
  </si>
  <si>
    <t>pakistan</t>
  </si>
  <si>
    <t>Points</t>
  </si>
  <si>
    <t>Govind</t>
  </si>
  <si>
    <t>Ruchi</t>
  </si>
  <si>
    <t>Minal</t>
  </si>
  <si>
    <t>Nidhi</t>
  </si>
  <si>
    <t>Pratik</t>
  </si>
  <si>
    <t>Y</t>
  </si>
  <si>
    <t>Sign</t>
  </si>
  <si>
    <t>Attendance</t>
  </si>
  <si>
    <t>Product</t>
  </si>
  <si>
    <t>Color</t>
  </si>
  <si>
    <t>Rate</t>
  </si>
  <si>
    <t>New Rate</t>
  </si>
  <si>
    <t>Table</t>
  </si>
  <si>
    <t>Bed</t>
  </si>
  <si>
    <t>Red</t>
  </si>
  <si>
    <t>Yellow</t>
  </si>
  <si>
    <t>Green</t>
  </si>
  <si>
    <t>Blue</t>
  </si>
  <si>
    <t>Pink</t>
  </si>
  <si>
    <t>Grade</t>
  </si>
  <si>
    <t>India</t>
  </si>
  <si>
    <t>Russia</t>
  </si>
  <si>
    <t>China</t>
  </si>
  <si>
    <t>Nepal</t>
  </si>
  <si>
    <t>Pakistan</t>
  </si>
  <si>
    <t>Sri Lanka</t>
  </si>
  <si>
    <t>Dates</t>
  </si>
  <si>
    <t>weekday</t>
  </si>
  <si>
    <t>mon</t>
  </si>
  <si>
    <t>tue</t>
  </si>
  <si>
    <t>wed</t>
  </si>
  <si>
    <t>thu</t>
  </si>
  <si>
    <t>fri</t>
  </si>
  <si>
    <t>sat</t>
  </si>
  <si>
    <t>sun</t>
  </si>
  <si>
    <t>holiday</t>
  </si>
  <si>
    <t xml:space="preserve"> the XOR function returns TRUE if an odd number of conditions are true, and FALSE otherwise</t>
  </si>
  <si>
    <t>condition 1</t>
  </si>
  <si>
    <t>condition 2</t>
  </si>
  <si>
    <t>condition 3</t>
  </si>
  <si>
    <t>condition 4</t>
  </si>
  <si>
    <t>condition 5</t>
  </si>
  <si>
    <t>XOR</t>
  </si>
  <si>
    <t>above if conditional formatting</t>
  </si>
  <si>
    <t>the only character</t>
  </si>
  <si>
    <t>tom and jerry</t>
  </si>
  <si>
    <t>pokemon is carby</t>
  </si>
  <si>
    <t>I will be there</t>
  </si>
  <si>
    <t>only</t>
  </si>
  <si>
    <t>carb</t>
  </si>
  <si>
    <t>here</t>
  </si>
  <si>
    <t>rat</t>
  </si>
  <si>
    <t>Donkey Monkey</t>
  </si>
  <si>
    <t>donkey monkey</t>
  </si>
  <si>
    <t>donkey</t>
  </si>
  <si>
    <t>To find the position of a substring in a text string, use the SEARCH function.</t>
  </si>
  <si>
    <t>The ISNUMBER function returns TRUE if a cell contains a number, and FALSE if not.</t>
  </si>
  <si>
    <t>To perform a case-sensitive search, replace the SEARCH function with the FIND function.</t>
  </si>
  <si>
    <t>the COUNTIF function is always case-insensitive.</t>
  </si>
  <si>
    <t>Tolerance</t>
  </si>
  <si>
    <t>product</t>
  </si>
  <si>
    <t>color</t>
  </si>
  <si>
    <t>price</t>
  </si>
  <si>
    <t>table</t>
  </si>
  <si>
    <t>green</t>
  </si>
  <si>
    <t>red</t>
  </si>
  <si>
    <t>blue</t>
  </si>
  <si>
    <t>yellow</t>
  </si>
  <si>
    <t>pink</t>
  </si>
  <si>
    <t>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</si>
</sst>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0000"/>
      <name val="Segoe U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14" fontId="0" fillId="3" borderId="0" xfId="0" applyNumberFormat="1" applyFill="1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1" applyFont="1"/>
  </cellXfs>
  <cellStyles count="2">
    <cellStyle name="Hyperlink" xfId="1" builtinId="8"/>
    <cellStyle name="Normal" xfId="0" builtinId="0"/>
  </cellStyles>
  <dxfs count="2">
    <dxf>
      <font>
        <color rgb="FFC00000"/>
      </font>
    </dxf>
    <dxf>
      <font>
        <strike val="0"/>
        <u val="none"/>
        <color rgb="FFC0000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workbookViewId="0">
      <selection activeCell="W10" sqref="W10"/>
    </sheetView>
  </sheetViews>
  <sheetFormatPr defaultRowHeight="14.4" x14ac:dyDescent="0.3"/>
  <cols>
    <col min="8" max="8" width="10.332031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2" t="s">
        <v>0</v>
      </c>
      <c r="E1" s="2" t="s">
        <v>1</v>
      </c>
      <c r="F1" s="2" t="s">
        <v>8</v>
      </c>
      <c r="G1" s="2" t="s">
        <v>2</v>
      </c>
      <c r="H1" s="1" t="s">
        <v>0</v>
      </c>
      <c r="I1" s="1" t="s">
        <v>1</v>
      </c>
      <c r="J1" s="1" t="s">
        <v>8</v>
      </c>
      <c r="K1" s="1" t="s">
        <v>2</v>
      </c>
      <c r="L1" s="2" t="s">
        <v>0</v>
      </c>
      <c r="M1" s="2" t="s">
        <v>1</v>
      </c>
      <c r="N1" s="2" t="s">
        <v>8</v>
      </c>
      <c r="O1" s="2" t="s">
        <v>2</v>
      </c>
      <c r="P1" s="2" t="s">
        <v>28</v>
      </c>
      <c r="R1" s="1">
        <v>1</v>
      </c>
      <c r="S1" s="1" t="str" cm="1">
        <f t="array" ref="S1">_xlfn.IFS(R1=1,"Good")</f>
        <v>Good</v>
      </c>
    </row>
    <row r="2" spans="1:19" x14ac:dyDescent="0.3">
      <c r="A2" s="1" t="s">
        <v>3</v>
      </c>
      <c r="B2" s="1">
        <v>80</v>
      </c>
      <c r="C2" s="1" t="str">
        <f>IF(B2&gt;=60,"Pass","Fail")</f>
        <v>Pass</v>
      </c>
      <c r="D2" s="2" t="s">
        <v>3</v>
      </c>
      <c r="E2" s="2">
        <v>90</v>
      </c>
      <c r="F2" s="2">
        <v>8</v>
      </c>
      <c r="G2" s="2" t="b">
        <f>AND(E2&gt;60,F2&gt;=7)</f>
        <v>1</v>
      </c>
      <c r="H2" s="1" t="s">
        <v>3</v>
      </c>
      <c r="I2" s="1">
        <v>56</v>
      </c>
      <c r="J2" s="1">
        <v>7</v>
      </c>
      <c r="K2" s="1" t="b">
        <f>OR(I2&gt;60,J2&gt;=7)</f>
        <v>1</v>
      </c>
      <c r="L2" s="2" t="s">
        <v>3</v>
      </c>
      <c r="M2" s="2">
        <v>56</v>
      </c>
      <c r="N2" s="2">
        <v>7</v>
      </c>
      <c r="O2" s="2" t="b">
        <f>NOT(OR(M2&lt;50,N2&lt;=6))</f>
        <v>1</v>
      </c>
      <c r="P2" s="2" t="str">
        <f>IF(M2&gt;55,"Good",IF(N2&gt;8,"Very Good",IF(O2,"Excellent","Not Valid")))</f>
        <v>Good</v>
      </c>
      <c r="R2" s="1">
        <v>2</v>
      </c>
      <c r="S2" s="1" t="str" cm="1">
        <f t="array" ref="S2">_xlfn.IFS(R2=1,"Good",R2=2,"Very Good")</f>
        <v>Very Good</v>
      </c>
    </row>
    <row r="3" spans="1:19" x14ac:dyDescent="0.3">
      <c r="A3" s="1" t="s">
        <v>4</v>
      </c>
      <c r="B3" s="1">
        <v>65</v>
      </c>
      <c r="C3" s="1" t="str">
        <f t="shared" ref="C3:C6" si="0">IF(B3&gt;=60,"Pass","Fail")</f>
        <v>Pass</v>
      </c>
      <c r="D3" s="2" t="s">
        <v>4</v>
      </c>
      <c r="E3" s="2">
        <v>85</v>
      </c>
      <c r="F3" s="2">
        <v>7</v>
      </c>
      <c r="G3" s="2" t="b">
        <f t="shared" ref="G3:G6" si="1">AND(E3&gt;60,F3&gt;=7)</f>
        <v>1</v>
      </c>
      <c r="H3" s="1" t="s">
        <v>4</v>
      </c>
      <c r="I3" s="1">
        <v>58</v>
      </c>
      <c r="J3" s="1">
        <v>8</v>
      </c>
      <c r="K3" s="1" t="b">
        <f t="shared" ref="K3:K6" si="2">OR(I3&gt;60,J3&gt;=7)</f>
        <v>1</v>
      </c>
      <c r="L3" s="2" t="s">
        <v>4</v>
      </c>
      <c r="M3" s="2">
        <v>45</v>
      </c>
      <c r="N3" s="2">
        <v>8</v>
      </c>
      <c r="O3" s="2" t="b">
        <f t="shared" ref="O3:O6" si="3">NOT(OR(M3&lt;50,N3&lt;=6))</f>
        <v>0</v>
      </c>
      <c r="P3" s="2" t="str">
        <f t="shared" ref="P3:P5" si="4">IF(M3&gt;55,"Good",IF(N3&gt;8,"Very Good",IF(O3,"Excellent","Not Valid")))</f>
        <v>Not Valid</v>
      </c>
      <c r="R3" s="1">
        <v>3</v>
      </c>
      <c r="S3" s="1" t="str" cm="1">
        <f t="array" ref="S3">_xlfn.IFS(R3=1,"Good",R3=2,"Very Good",R3=3,"Excellent")</f>
        <v>Excellent</v>
      </c>
    </row>
    <row r="4" spans="1:19" x14ac:dyDescent="0.3">
      <c r="A4" s="1" t="s">
        <v>5</v>
      </c>
      <c r="B4" s="1">
        <v>78</v>
      </c>
      <c r="C4" s="1" t="str">
        <f t="shared" si="0"/>
        <v>Pass</v>
      </c>
      <c r="D4" s="2" t="s">
        <v>5</v>
      </c>
      <c r="E4" s="2">
        <v>90</v>
      </c>
      <c r="F4" s="2">
        <v>6</v>
      </c>
      <c r="G4" s="2" t="b">
        <f t="shared" si="1"/>
        <v>0</v>
      </c>
      <c r="H4" s="1" t="s">
        <v>5</v>
      </c>
      <c r="I4" s="1">
        <v>50</v>
      </c>
      <c r="J4" s="1">
        <v>9</v>
      </c>
      <c r="K4" s="1" t="b">
        <f t="shared" si="2"/>
        <v>1</v>
      </c>
      <c r="L4" s="2" t="s">
        <v>5</v>
      </c>
      <c r="M4" s="2">
        <v>55</v>
      </c>
      <c r="N4" s="2">
        <v>8</v>
      </c>
      <c r="O4" s="2" t="b">
        <f t="shared" si="3"/>
        <v>1</v>
      </c>
      <c r="P4" s="2" t="str">
        <f t="shared" si="4"/>
        <v>Excellent</v>
      </c>
      <c r="R4" s="1">
        <v>4</v>
      </c>
      <c r="S4" s="1" t="str" cm="1">
        <f t="array" ref="S4">_xlfn.IFS(R4=1,"Good",R4=2,"Very Good",R4=3,"Excellent",TRUE,"Not Valid")</f>
        <v>Not Valid</v>
      </c>
    </row>
    <row r="5" spans="1:19" x14ac:dyDescent="0.3">
      <c r="A5" s="1" t="s">
        <v>6</v>
      </c>
      <c r="B5" s="1">
        <v>60</v>
      </c>
      <c r="C5" s="1" t="str">
        <f t="shared" si="0"/>
        <v>Pass</v>
      </c>
      <c r="D5" s="2" t="s">
        <v>6</v>
      </c>
      <c r="E5" s="2">
        <v>40</v>
      </c>
      <c r="F5" s="2">
        <v>7</v>
      </c>
      <c r="G5" s="2" t="b">
        <f t="shared" si="1"/>
        <v>0</v>
      </c>
      <c r="H5" s="1" t="s">
        <v>6</v>
      </c>
      <c r="I5" s="1">
        <v>42</v>
      </c>
      <c r="J5" s="1">
        <v>5</v>
      </c>
      <c r="K5" s="1" t="b">
        <f t="shared" si="2"/>
        <v>0</v>
      </c>
      <c r="L5" s="2" t="s">
        <v>6</v>
      </c>
      <c r="M5" s="2">
        <v>42</v>
      </c>
      <c r="N5" s="2">
        <v>5</v>
      </c>
      <c r="O5" s="2" t="b">
        <f t="shared" si="3"/>
        <v>0</v>
      </c>
      <c r="P5" s="2" t="str">
        <f t="shared" si="4"/>
        <v>Not Valid</v>
      </c>
      <c r="R5" s="1">
        <v>2</v>
      </c>
      <c r="S5" s="1" t="str" cm="1">
        <f t="array" ref="S5">_xlfn.IFS(R5=1,"Good",R5=2,"Very Good",R5=3,"Excellent",TRUE,"Not Valid")</f>
        <v>Very Good</v>
      </c>
    </row>
    <row r="6" spans="1:19" x14ac:dyDescent="0.3">
      <c r="A6" s="1" t="s">
        <v>7</v>
      </c>
      <c r="B6" s="1">
        <v>56</v>
      </c>
      <c r="C6" s="1" t="str">
        <f t="shared" si="0"/>
        <v>Fail</v>
      </c>
      <c r="D6" s="2" t="s">
        <v>7</v>
      </c>
      <c r="E6" s="2">
        <v>60</v>
      </c>
      <c r="F6" s="2">
        <v>5</v>
      </c>
      <c r="G6" s="2" t="b">
        <f t="shared" si="1"/>
        <v>0</v>
      </c>
      <c r="H6" s="1" t="s">
        <v>7</v>
      </c>
      <c r="I6" s="1">
        <v>35</v>
      </c>
      <c r="J6" s="1">
        <v>2</v>
      </c>
      <c r="K6" s="1" t="b">
        <f t="shared" si="2"/>
        <v>0</v>
      </c>
      <c r="L6" s="2" t="s">
        <v>7</v>
      </c>
      <c r="M6" s="2">
        <v>35</v>
      </c>
      <c r="N6" s="2">
        <v>2</v>
      </c>
      <c r="O6" s="2" t="b">
        <f t="shared" si="3"/>
        <v>0</v>
      </c>
      <c r="P6" s="2" t="str">
        <f>IF(M6&gt;55,"Good",IF(N6&gt;8,"Very Good",IF(O6,"Excellent","Not Valid")))</f>
        <v>Not Valid</v>
      </c>
      <c r="R6" s="1">
        <v>3</v>
      </c>
      <c r="S6" s="1" t="str" cm="1">
        <f t="array" ref="S6">_xlfn.IFS(R6=1,"Good",R6=2,"Very Good",R6=3,"Excellent",TRUE,"Not Valid")</f>
        <v>Excellent</v>
      </c>
    </row>
    <row r="7" spans="1:19" x14ac:dyDescent="0.3">
      <c r="R7" s="1">
        <v>5</v>
      </c>
      <c r="S7" s="1" t="str" cm="1">
        <f t="array" ref="S7">_xlfn.IFS(R7=1,"Good",R7=2,"Very Good",R7=3,"Excellent",TRUE,"Not Valid")</f>
        <v>Not Valid</v>
      </c>
    </row>
    <row r="8" spans="1:19" x14ac:dyDescent="0.3">
      <c r="A8" s="2" t="s">
        <v>0</v>
      </c>
      <c r="B8" s="2" t="s">
        <v>15</v>
      </c>
      <c r="C8" s="2" t="s">
        <v>16</v>
      </c>
      <c r="D8" s="1" t="s">
        <v>0</v>
      </c>
      <c r="E8" s="1" t="s">
        <v>1</v>
      </c>
      <c r="F8" s="1" t="s">
        <v>8</v>
      </c>
      <c r="G8" s="1" t="s">
        <v>2</v>
      </c>
      <c r="H8" s="2" t="s">
        <v>0</v>
      </c>
      <c r="I8" s="2" t="s">
        <v>1</v>
      </c>
      <c r="J8" s="2" t="s">
        <v>8</v>
      </c>
      <c r="K8" s="2" t="s">
        <v>2</v>
      </c>
      <c r="L8" s="1" t="s">
        <v>17</v>
      </c>
      <c r="M8" s="1" t="s">
        <v>18</v>
      </c>
      <c r="N8" s="1" t="s">
        <v>19</v>
      </c>
      <c r="O8" s="1" t="s">
        <v>20</v>
      </c>
    </row>
    <row r="9" spans="1:19" x14ac:dyDescent="0.3">
      <c r="A9" s="2" t="s">
        <v>9</v>
      </c>
      <c r="B9" s="2" t="s">
        <v>14</v>
      </c>
      <c r="C9" s="2" t="str">
        <f>IF(B9&lt;&gt;"","P","A")</f>
        <v>P</v>
      </c>
      <c r="D9" s="1" t="s">
        <v>3</v>
      </c>
      <c r="E9" s="1">
        <v>56</v>
      </c>
      <c r="F9" s="1">
        <v>7</v>
      </c>
      <c r="G9" s="1" t="str">
        <f>IF(AND(E9&gt;=50,F9&gt;=7),"Pass","Fail")</f>
        <v>Pass</v>
      </c>
      <c r="H9" s="2" t="s">
        <v>3</v>
      </c>
      <c r="I9" s="2">
        <v>56</v>
      </c>
      <c r="J9" s="2">
        <v>7</v>
      </c>
      <c r="K9" s="2" t="str">
        <f>IF(OR(I9&gt;50,J9&gt;=7),"Pass","Fail")</f>
        <v>Pass</v>
      </c>
      <c r="L9" s="1" t="s">
        <v>21</v>
      </c>
      <c r="M9" s="1" t="s">
        <v>23</v>
      </c>
      <c r="N9" s="1">
        <v>10</v>
      </c>
      <c r="O9" s="1">
        <f>IF(AND(L9="Table",OR(M9="Blue",M9="Pink")),N9*10,N9*2)</f>
        <v>20</v>
      </c>
    </row>
    <row r="10" spans="1:19" x14ac:dyDescent="0.3">
      <c r="A10" s="2" t="s">
        <v>10</v>
      </c>
      <c r="B10" s="2" t="s">
        <v>14</v>
      </c>
      <c r="C10" s="2" t="str">
        <f t="shared" ref="C10:C13" si="5">IF(B10&lt;&gt;"","P","A")</f>
        <v>P</v>
      </c>
      <c r="D10" s="1" t="s">
        <v>4</v>
      </c>
      <c r="E10" s="1">
        <v>58</v>
      </c>
      <c r="F10" s="1">
        <v>8</v>
      </c>
      <c r="G10" s="1" t="str">
        <f t="shared" ref="G10:G13" si="6">IF(AND(E10&gt;=50,F10&gt;=7),"Pass","Fail")</f>
        <v>Pass</v>
      </c>
      <c r="H10" s="2" t="s">
        <v>4</v>
      </c>
      <c r="I10" s="2">
        <v>58</v>
      </c>
      <c r="J10" s="2">
        <v>8</v>
      </c>
      <c r="K10" s="2" t="str">
        <f t="shared" ref="K10:K13" si="7">IF(OR(I10&gt;50,J10&gt;=7),"Pass","Fail")</f>
        <v>Pass</v>
      </c>
      <c r="L10" s="1" t="s">
        <v>22</v>
      </c>
      <c r="M10" s="1" t="s">
        <v>24</v>
      </c>
      <c r="N10" s="1">
        <v>20</v>
      </c>
      <c r="O10" s="1">
        <f t="shared" ref="O10:O13" si="8">IF(AND(L10="Table",OR(M10="Blue",M10="Pink")),N10*10,N10*2)</f>
        <v>40</v>
      </c>
    </row>
    <row r="11" spans="1:19" x14ac:dyDescent="0.3">
      <c r="A11" s="2" t="s">
        <v>11</v>
      </c>
      <c r="B11" s="2"/>
      <c r="C11" s="2" t="str">
        <f t="shared" si="5"/>
        <v>A</v>
      </c>
      <c r="D11" s="1" t="s">
        <v>5</v>
      </c>
      <c r="E11" s="1">
        <v>50</v>
      </c>
      <c r="F11" s="1">
        <v>9</v>
      </c>
      <c r="G11" s="1" t="str">
        <f t="shared" si="6"/>
        <v>Pass</v>
      </c>
      <c r="H11" s="2" t="s">
        <v>5</v>
      </c>
      <c r="I11" s="2">
        <v>50</v>
      </c>
      <c r="J11" s="2">
        <v>9</v>
      </c>
      <c r="K11" s="2" t="str">
        <f t="shared" si="7"/>
        <v>Pass</v>
      </c>
      <c r="L11" s="1" t="s">
        <v>21</v>
      </c>
      <c r="M11" s="1" t="s">
        <v>25</v>
      </c>
      <c r="N11" s="1">
        <v>30</v>
      </c>
      <c r="O11" s="1">
        <f t="shared" si="8"/>
        <v>60</v>
      </c>
    </row>
    <row r="12" spans="1:19" x14ac:dyDescent="0.3">
      <c r="A12" s="2" t="s">
        <v>13</v>
      </c>
      <c r="B12" s="2" t="s">
        <v>14</v>
      </c>
      <c r="C12" s="2" t="str">
        <f t="shared" si="5"/>
        <v>P</v>
      </c>
      <c r="D12" s="1" t="s">
        <v>6</v>
      </c>
      <c r="E12" s="1">
        <v>42</v>
      </c>
      <c r="F12" s="1">
        <v>7</v>
      </c>
      <c r="G12" s="1" t="str">
        <f t="shared" si="6"/>
        <v>Fail</v>
      </c>
      <c r="H12" s="2" t="s">
        <v>6</v>
      </c>
      <c r="I12" s="2">
        <v>42</v>
      </c>
      <c r="J12" s="2">
        <v>7</v>
      </c>
      <c r="K12" s="2" t="str">
        <f t="shared" si="7"/>
        <v>Pass</v>
      </c>
      <c r="L12" s="1" t="s">
        <v>22</v>
      </c>
      <c r="M12" s="1" t="s">
        <v>26</v>
      </c>
      <c r="N12" s="1">
        <v>40</v>
      </c>
      <c r="O12" s="1">
        <f t="shared" si="8"/>
        <v>80</v>
      </c>
    </row>
    <row r="13" spans="1:19" x14ac:dyDescent="0.3">
      <c r="A13" s="2" t="s">
        <v>12</v>
      </c>
      <c r="B13" s="2"/>
      <c r="C13" s="2" t="str">
        <f t="shared" si="5"/>
        <v>A</v>
      </c>
      <c r="D13" s="1" t="s">
        <v>7</v>
      </c>
      <c r="E13" s="1">
        <v>35</v>
      </c>
      <c r="F13" s="1">
        <v>2</v>
      </c>
      <c r="G13" s="1" t="str">
        <f t="shared" si="6"/>
        <v>Fail</v>
      </c>
      <c r="H13" s="2" t="s">
        <v>7</v>
      </c>
      <c r="I13" s="2">
        <v>35</v>
      </c>
      <c r="J13" s="2">
        <v>2</v>
      </c>
      <c r="K13" s="2" t="str">
        <f t="shared" si="7"/>
        <v>Fail</v>
      </c>
      <c r="L13" s="1" t="s">
        <v>21</v>
      </c>
      <c r="M13" s="1" t="s">
        <v>27</v>
      </c>
      <c r="N13" s="1">
        <v>50</v>
      </c>
      <c r="O13" s="1">
        <f t="shared" si="8"/>
        <v>500</v>
      </c>
    </row>
    <row r="16" spans="1:19" x14ac:dyDescent="0.3">
      <c r="A16" s="2" t="s">
        <v>29</v>
      </c>
      <c r="B16" s="2" t="s">
        <v>30</v>
      </c>
      <c r="C16" s="2" t="s">
        <v>31</v>
      </c>
      <c r="D16" s="2" t="s">
        <v>32</v>
      </c>
      <c r="E16" s="2" t="s">
        <v>33</v>
      </c>
      <c r="F16" s="2" t="s">
        <v>34</v>
      </c>
      <c r="H16" s="2" t="s">
        <v>35</v>
      </c>
      <c r="I16" s="2" t="s">
        <v>36</v>
      </c>
      <c r="J16" s="2" t="s">
        <v>44</v>
      </c>
      <c r="L16" t="s">
        <v>45</v>
      </c>
    </row>
    <row r="17" spans="1:17" x14ac:dyDescent="0.3">
      <c r="A17" s="2">
        <v>40</v>
      </c>
      <c r="B17" s="2">
        <v>50</v>
      </c>
      <c r="C17" s="2">
        <v>40</v>
      </c>
      <c r="D17" s="2">
        <v>60</v>
      </c>
      <c r="E17" s="2">
        <v>10</v>
      </c>
      <c r="F17" s="2">
        <v>90</v>
      </c>
      <c r="H17" s="3">
        <v>46048</v>
      </c>
      <c r="I17" s="2" t="s">
        <v>37</v>
      </c>
      <c r="J17" s="2" t="b">
        <f>OR(WEEKDAY(H17)=1,WEEKDAY(H17)=7)</f>
        <v>0</v>
      </c>
      <c r="L17" s="2" t="s">
        <v>46</v>
      </c>
      <c r="M17" s="2" t="s">
        <v>47</v>
      </c>
      <c r="N17" s="2" t="s">
        <v>48</v>
      </c>
      <c r="O17" s="2" t="s">
        <v>49</v>
      </c>
      <c r="P17" s="2" t="s">
        <v>50</v>
      </c>
      <c r="Q17" s="2" t="s">
        <v>51</v>
      </c>
    </row>
    <row r="18" spans="1:17" x14ac:dyDescent="0.3">
      <c r="A18" s="2">
        <v>50</v>
      </c>
      <c r="B18" s="2">
        <v>60</v>
      </c>
      <c r="C18" s="2">
        <v>20</v>
      </c>
      <c r="D18" s="2">
        <v>40</v>
      </c>
      <c r="E18" s="2">
        <v>30</v>
      </c>
      <c r="F18" s="2">
        <v>50</v>
      </c>
      <c r="H18" s="3">
        <v>46049</v>
      </c>
      <c r="I18" s="2" t="s">
        <v>38</v>
      </c>
      <c r="J18" s="2" t="b">
        <f t="shared" ref="J18:J24" si="9">OR(WEEKDAY(H18)=1,WEEKDAY(H18)=7)</f>
        <v>0</v>
      </c>
      <c r="L18" s="2" t="b">
        <v>1</v>
      </c>
      <c r="M18" s="2" t="b">
        <v>0</v>
      </c>
      <c r="N18" s="2" t="b">
        <v>1</v>
      </c>
      <c r="O18" s="2" t="b">
        <v>0</v>
      </c>
      <c r="P18" s="2" t="b">
        <v>1</v>
      </c>
      <c r="Q18" s="2" t="b">
        <f>_xlfn.XOR(L18,M18,N18,O18,P18)</f>
        <v>1</v>
      </c>
    </row>
    <row r="19" spans="1:17" x14ac:dyDescent="0.3">
      <c r="A19" s="2" t="b">
        <f t="array" ref="A19">OR(A17:A18&gt;40)</f>
        <v>1</v>
      </c>
      <c r="B19" s="2" t="b">
        <f t="array" ref="B19">OR(B17:B18&gt;40)</f>
        <v>1</v>
      </c>
      <c r="C19" s="2" t="b">
        <f t="array" ref="C19">OR(C17:C18&gt;40)</f>
        <v>0</v>
      </c>
      <c r="D19" s="2" t="b">
        <f t="array" ref="D19">OR(D17:D18&gt;40)</f>
        <v>1</v>
      </c>
      <c r="E19" s="2" t="b">
        <f t="array" ref="E19">OR(E17:E18&gt;40)</f>
        <v>0</v>
      </c>
      <c r="F19" s="2" t="b">
        <f t="array" ref="F19">OR(F17:F18&gt;40)</f>
        <v>1</v>
      </c>
      <c r="H19" s="3">
        <v>46050</v>
      </c>
      <c r="I19" s="2" t="s">
        <v>39</v>
      </c>
      <c r="J19" s="2" t="b">
        <f t="shared" si="9"/>
        <v>0</v>
      </c>
      <c r="L19" s="2" t="b">
        <v>1</v>
      </c>
      <c r="M19" s="2" t="b">
        <v>0</v>
      </c>
      <c r="N19" s="2" t="b">
        <v>0</v>
      </c>
      <c r="O19" s="2" t="b">
        <v>0</v>
      </c>
      <c r="P19" s="2" t="b">
        <v>0</v>
      </c>
      <c r="Q19" s="2" t="b">
        <f t="shared" ref="Q19:Q21" si="10">_xlfn.XOR(L19,M19,N19,O19,P19)</f>
        <v>1</v>
      </c>
    </row>
    <row r="20" spans="1:17" x14ac:dyDescent="0.3">
      <c r="H20" s="3">
        <v>46051</v>
      </c>
      <c r="I20" s="2" t="s">
        <v>40</v>
      </c>
      <c r="J20" s="2" t="b">
        <f t="shared" si="9"/>
        <v>0</v>
      </c>
      <c r="L20" s="2" t="b">
        <v>0</v>
      </c>
      <c r="M20" s="2" t="b">
        <v>0</v>
      </c>
      <c r="N20" s="2" t="b">
        <v>0</v>
      </c>
      <c r="O20" s="2" t="b">
        <v>0</v>
      </c>
      <c r="P20" s="2" t="b">
        <v>0</v>
      </c>
      <c r="Q20" s="2" t="b">
        <f t="shared" si="10"/>
        <v>0</v>
      </c>
    </row>
    <row r="21" spans="1:17" x14ac:dyDescent="0.3">
      <c r="A21">
        <v>10</v>
      </c>
      <c r="C21">
        <v>30</v>
      </c>
      <c r="E21">
        <v>50</v>
      </c>
      <c r="H21" s="3">
        <v>46052</v>
      </c>
      <c r="I21" s="2" t="s">
        <v>41</v>
      </c>
      <c r="J21" s="2" t="b">
        <f t="shared" si="9"/>
        <v>0</v>
      </c>
      <c r="L21" s="2" t="b">
        <v>0</v>
      </c>
      <c r="M21" s="2" t="b">
        <v>0</v>
      </c>
      <c r="N21" s="2" t="b">
        <v>0</v>
      </c>
      <c r="O21" s="2" t="b">
        <v>1</v>
      </c>
      <c r="P21" s="2" t="b">
        <v>1</v>
      </c>
      <c r="Q21" s="2" t="b">
        <f t="shared" si="10"/>
        <v>0</v>
      </c>
    </row>
    <row r="22" spans="1:17" x14ac:dyDescent="0.3">
      <c r="E22">
        <v>60</v>
      </c>
      <c r="H22" s="3">
        <v>46053</v>
      </c>
      <c r="I22" s="2" t="s">
        <v>42</v>
      </c>
      <c r="J22" s="2" t="b">
        <f t="shared" si="9"/>
        <v>1</v>
      </c>
    </row>
    <row r="23" spans="1:17" x14ac:dyDescent="0.3">
      <c r="A23">
        <v>20</v>
      </c>
      <c r="B23">
        <v>20</v>
      </c>
      <c r="E23">
        <v>10</v>
      </c>
      <c r="H23" s="3">
        <v>46054</v>
      </c>
      <c r="I23" s="2" t="s">
        <v>43</v>
      </c>
      <c r="J23" s="2" t="b">
        <f t="shared" si="9"/>
        <v>1</v>
      </c>
    </row>
    <row r="24" spans="1:17" x14ac:dyDescent="0.3">
      <c r="H24" s="3">
        <v>46055</v>
      </c>
      <c r="I24" s="2" t="s">
        <v>37</v>
      </c>
      <c r="J24" s="2" t="b">
        <f t="shared" si="9"/>
        <v>0</v>
      </c>
    </row>
    <row r="25" spans="1:17" x14ac:dyDescent="0.3">
      <c r="A25" t="b">
        <f>ISBLANK(A22)</f>
        <v>1</v>
      </c>
      <c r="B25" t="b">
        <f>NOT(ISBLANK(B22))</f>
        <v>0</v>
      </c>
      <c r="C25" t="str">
        <f>IF(ISBLANK(C22),"YES","NO")</f>
        <v>YES</v>
      </c>
      <c r="D25" t="str">
        <f>IF(D22="","Y","N")</f>
        <v>Y</v>
      </c>
    </row>
    <row r="26" spans="1:17" x14ac:dyDescent="0.3">
      <c r="A26" s="4" t="s">
        <v>52</v>
      </c>
      <c r="B26" s="4"/>
      <c r="C26" s="4"/>
    </row>
  </sheetData>
  <mergeCells count="1">
    <mergeCell ref="A26:C26"/>
  </mergeCells>
  <phoneticPr fontId="1" type="noConversion"/>
  <conditionalFormatting sqref="A21:E23">
    <cfRule type="containsBlanks" dxfId="1" priority="1">
      <formula>LEN(TRIM(A21))=0</formula>
    </cfRule>
    <cfRule type="containsBlanks" dxfId="0" priority="2">
      <formula>LEN(TRIM(A21))=0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8779-EB18-49F9-8C7A-1EC310F11371}">
  <dimension ref="A1:G13"/>
  <sheetViews>
    <sheetView workbookViewId="0">
      <selection activeCell="K18" sqref="K18"/>
    </sheetView>
  </sheetViews>
  <sheetFormatPr defaultRowHeight="14.4" x14ac:dyDescent="0.3"/>
  <sheetData>
    <row r="1" spans="1:7" x14ac:dyDescent="0.3">
      <c r="A1" s="4" t="s">
        <v>53</v>
      </c>
      <c r="B1" s="4"/>
      <c r="C1" t="s">
        <v>57</v>
      </c>
      <c r="D1">
        <f>SEARCH(C1,A1)</f>
        <v>5</v>
      </c>
      <c r="E1" t="b">
        <f>ISNUMBER(D1)</f>
        <v>1</v>
      </c>
      <c r="F1" t="str">
        <f>IF(ISNUMBER(FIND(C1,A1)),"Found","Not Found")</f>
        <v>Found</v>
      </c>
      <c r="G1" t="str">
        <f>IF(COUNTIF(A1:B6,"*"&amp;C1&amp;"*"),"Found","Not Found")</f>
        <v>Found</v>
      </c>
    </row>
    <row r="2" spans="1:7" x14ac:dyDescent="0.3">
      <c r="A2" s="4" t="s">
        <v>54</v>
      </c>
      <c r="B2" s="4"/>
      <c r="C2" t="s">
        <v>60</v>
      </c>
      <c r="D2" t="e">
        <f t="shared" ref="D2:D6" si="0">SEARCH(C2,A2)</f>
        <v>#VALUE!</v>
      </c>
      <c r="E2" t="b">
        <f t="shared" ref="E2:E6" si="1">ISNUMBER(D2)</f>
        <v>0</v>
      </c>
      <c r="F2" t="str">
        <f t="shared" ref="F2:F6" si="2">IF(ISNUMBER(FIND(C2,A2)),"Found","Not Found")</f>
        <v>Not Found</v>
      </c>
      <c r="G2" t="str">
        <f t="shared" ref="G2:G6" si="3">IF(COUNTIF(A2:B7,"*"&amp;C2&amp;"*"),"Found","Not Found")</f>
        <v>Not Found</v>
      </c>
    </row>
    <row r="3" spans="1:7" x14ac:dyDescent="0.3">
      <c r="A3" s="4" t="s">
        <v>55</v>
      </c>
      <c r="B3" s="4"/>
      <c r="C3" t="s">
        <v>58</v>
      </c>
      <c r="D3">
        <f t="shared" si="0"/>
        <v>12</v>
      </c>
      <c r="E3" t="b">
        <f t="shared" si="1"/>
        <v>1</v>
      </c>
      <c r="F3" t="str">
        <f t="shared" si="2"/>
        <v>Found</v>
      </c>
      <c r="G3" t="str">
        <f t="shared" si="3"/>
        <v>Found</v>
      </c>
    </row>
    <row r="4" spans="1:7" x14ac:dyDescent="0.3">
      <c r="A4" s="4" t="s">
        <v>56</v>
      </c>
      <c r="B4" s="4"/>
      <c r="C4" t="s">
        <v>59</v>
      </c>
      <c r="D4">
        <f t="shared" si="0"/>
        <v>12</v>
      </c>
      <c r="E4" t="b">
        <f t="shared" si="1"/>
        <v>1</v>
      </c>
      <c r="F4" t="str">
        <f t="shared" si="2"/>
        <v>Found</v>
      </c>
      <c r="G4" t="str">
        <f t="shared" si="3"/>
        <v>Found</v>
      </c>
    </row>
    <row r="5" spans="1:7" x14ac:dyDescent="0.3">
      <c r="A5" s="4" t="s">
        <v>61</v>
      </c>
      <c r="B5" s="4"/>
      <c r="C5" t="s">
        <v>63</v>
      </c>
      <c r="D5">
        <f t="shared" si="0"/>
        <v>1</v>
      </c>
      <c r="E5" t="b">
        <f t="shared" si="1"/>
        <v>1</v>
      </c>
      <c r="F5" t="str">
        <f t="shared" si="2"/>
        <v>Not Found</v>
      </c>
      <c r="G5" t="str">
        <f t="shared" si="3"/>
        <v>Found</v>
      </c>
    </row>
    <row r="6" spans="1:7" x14ac:dyDescent="0.3">
      <c r="A6" s="4" t="s">
        <v>62</v>
      </c>
      <c r="B6" s="4"/>
      <c r="C6" t="s">
        <v>63</v>
      </c>
      <c r="D6">
        <f t="shared" si="0"/>
        <v>1</v>
      </c>
      <c r="E6" t="b">
        <f t="shared" si="1"/>
        <v>1</v>
      </c>
      <c r="F6" t="str">
        <f t="shared" si="2"/>
        <v>Found</v>
      </c>
      <c r="G6" t="str">
        <f t="shared" si="3"/>
        <v>Found</v>
      </c>
    </row>
    <row r="10" spans="1:7" x14ac:dyDescent="0.3">
      <c r="A10" s="6" t="s">
        <v>64</v>
      </c>
    </row>
    <row r="11" spans="1:7" x14ac:dyDescent="0.3">
      <c r="A11" s="5" t="s">
        <v>65</v>
      </c>
    </row>
    <row r="12" spans="1:7" x14ac:dyDescent="0.3">
      <c r="A12" s="5" t="s">
        <v>66</v>
      </c>
    </row>
    <row r="13" spans="1:7" x14ac:dyDescent="0.3">
      <c r="A13" s="5" t="s">
        <v>67</v>
      </c>
    </row>
  </sheetData>
  <mergeCells count="6">
    <mergeCell ref="A6:B6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69ECB-2E0D-41CC-B200-BA235A075B34}">
  <dimension ref="A1:Q10"/>
  <sheetViews>
    <sheetView tabSelected="1" workbookViewId="0">
      <selection activeCell="P11" sqref="P11"/>
    </sheetView>
  </sheetViews>
  <sheetFormatPr defaultRowHeight="14.4" x14ac:dyDescent="0.3"/>
  <sheetData>
    <row r="1" spans="1:17" x14ac:dyDescent="0.3">
      <c r="A1">
        <v>10</v>
      </c>
      <c r="B1">
        <f>ABS(A1)</f>
        <v>10</v>
      </c>
      <c r="K1">
        <v>1</v>
      </c>
      <c r="L1" t="str" cm="1">
        <f t="array" ref="L1">_xlfn.SWITCH(K1,1,"Bad",2,"Good",3,"Excellent","-")</f>
        <v>Bad</v>
      </c>
      <c r="N1" t="s">
        <v>69</v>
      </c>
      <c r="O1" t="s">
        <v>70</v>
      </c>
      <c r="P1" t="s">
        <v>71</v>
      </c>
      <c r="Q1" t="s">
        <v>78</v>
      </c>
    </row>
    <row r="2" spans="1:17" x14ac:dyDescent="0.3">
      <c r="A2">
        <v>-10</v>
      </c>
      <c r="B2">
        <f>ABS(A2)</f>
        <v>10</v>
      </c>
      <c r="K2">
        <v>2</v>
      </c>
      <c r="L2" t="str" cm="1">
        <f t="array" ref="L2">_xlfn.SWITCH(K2,1,"Bad",2,"Good",3,"Excellent","-")</f>
        <v>Good</v>
      </c>
      <c r="N2" t="s">
        <v>72</v>
      </c>
      <c r="O2" t="s">
        <v>73</v>
      </c>
      <c r="P2">
        <v>100</v>
      </c>
      <c r="Q2" cm="1">
        <f t="array" ref="Q2">_xlfn.SWITCH(N2&amp;O2,"tablepink",P2*2,"tableyellow",P2*3,P2*1)</f>
        <v>100</v>
      </c>
    </row>
    <row r="3" spans="1:17" x14ac:dyDescent="0.3">
      <c r="K3">
        <v>3</v>
      </c>
      <c r="L3" t="str" cm="1">
        <f t="array" ref="L3">_xlfn.SWITCH(K3,1,"Bad",2,"Good",3,"Excellent","-")</f>
        <v>Excellent</v>
      </c>
      <c r="N3" t="s">
        <v>72</v>
      </c>
      <c r="O3" t="s">
        <v>74</v>
      </c>
      <c r="P3">
        <v>200</v>
      </c>
      <c r="Q3" cm="1">
        <f t="array" ref="Q3">_xlfn.SWITCH(N3&amp;O3,"tablepink",P3*2,"tableyellow",P3*3,P3*1)</f>
        <v>200</v>
      </c>
    </row>
    <row r="4" spans="1:17" x14ac:dyDescent="0.3">
      <c r="A4">
        <f>ABS(10-100)</f>
        <v>90</v>
      </c>
      <c r="K4">
        <v>4</v>
      </c>
      <c r="L4" t="str" cm="1">
        <f t="array" ref="L4">_xlfn.SWITCH(K4,1,"Bad",2,"Good",3,"Excellent","-")</f>
        <v>-</v>
      </c>
      <c r="N4" t="s">
        <v>72</v>
      </c>
      <c r="O4" t="s">
        <v>75</v>
      </c>
      <c r="P4">
        <v>300</v>
      </c>
      <c r="Q4" cm="1">
        <f t="array" ref="Q4">_xlfn.SWITCH(N4&amp;O4,"tablepink",P4*2,"tableyellow",P4*3,P4*1)</f>
        <v>300</v>
      </c>
    </row>
    <row r="5" spans="1:17" x14ac:dyDescent="0.3">
      <c r="K5">
        <v>5</v>
      </c>
      <c r="L5" t="str" cm="1">
        <f t="array" ref="L5">_xlfn.SWITCH(K5,1,"Bad",2,"Good",3,"Excellent","-")</f>
        <v>-</v>
      </c>
      <c r="N5" t="s">
        <v>72</v>
      </c>
      <c r="O5" t="s">
        <v>76</v>
      </c>
      <c r="P5">
        <v>400</v>
      </c>
      <c r="Q5" cm="1">
        <f t="array" ref="Q5">_xlfn.SWITCH(N5&amp;O5,"tablepink",P5*2,"tableyellow",P5*3,P5*1)</f>
        <v>1200</v>
      </c>
    </row>
    <row r="6" spans="1:17" x14ac:dyDescent="0.3">
      <c r="A6">
        <v>10</v>
      </c>
      <c r="B6">
        <v>5</v>
      </c>
      <c r="C6" cm="1">
        <f t="array" ref="C6">SUMPRODUCT(A6:A10-B6:B10)</f>
        <v>615</v>
      </c>
      <c r="D6" cm="1">
        <f t="array" ref="D6">SUMPRODUCT(ABS(A6:A10-B6:B10))</f>
        <v>635</v>
      </c>
      <c r="E6" t="s">
        <v>68</v>
      </c>
      <c r="F6">
        <v>30</v>
      </c>
      <c r="G6">
        <f>IF(ABS(A6-B6)&gt;$F$6,1,0)</f>
        <v>0</v>
      </c>
      <c r="K6">
        <v>6</v>
      </c>
      <c r="L6" t="str" cm="1">
        <f t="array" ref="L6">_xlfn.SWITCH(K6,1,"Bad",2,"Good",3,"Excellent","-")</f>
        <v>-</v>
      </c>
      <c r="N6" t="s">
        <v>72</v>
      </c>
      <c r="O6" t="s">
        <v>77</v>
      </c>
      <c r="P6">
        <v>500</v>
      </c>
      <c r="Q6" cm="1">
        <f t="array" ref="Q6">_xlfn.SWITCH(N6&amp;O6,"tablepink",P6*2,"tableyellow",P6*3,P6*1)</f>
        <v>1000</v>
      </c>
    </row>
    <row r="7" spans="1:17" x14ac:dyDescent="0.3">
      <c r="A7">
        <v>20</v>
      </c>
      <c r="B7">
        <v>20</v>
      </c>
      <c r="C7" cm="1">
        <f t="array" ref="C7">SUMPRODUCT(A7:A11-B7:B11)</f>
        <v>610</v>
      </c>
      <c r="G7">
        <f t="shared" ref="G7:G10" si="0">IF(ABS(A7-B7)&gt;$F$6,1,0)</f>
        <v>0</v>
      </c>
      <c r="K7">
        <v>7</v>
      </c>
      <c r="L7" t="str" cm="1">
        <f t="array" ref="L7">_xlfn.SWITCH(K7,1,"Bad",2,"Good",3,"Excellent","-")</f>
        <v>-</v>
      </c>
    </row>
    <row r="8" spans="1:17" x14ac:dyDescent="0.3">
      <c r="A8">
        <v>90</v>
      </c>
      <c r="B8">
        <v>25</v>
      </c>
      <c r="C8" cm="1">
        <f t="array" ref="C8">SUMPRODUCT(A8:A12-B8:B12)</f>
        <v>610</v>
      </c>
      <c r="G8">
        <f t="shared" si="0"/>
        <v>1</v>
      </c>
    </row>
    <row r="9" spans="1:17" x14ac:dyDescent="0.3">
      <c r="A9">
        <v>40</v>
      </c>
      <c r="B9">
        <v>50</v>
      </c>
      <c r="C9" cm="1">
        <f t="array" ref="C9">SUMPRODUCT(A9:A13-B9:B13)</f>
        <v>545</v>
      </c>
      <c r="G9">
        <f t="shared" si="0"/>
        <v>0</v>
      </c>
    </row>
    <row r="10" spans="1:17" x14ac:dyDescent="0.3">
      <c r="A10">
        <v>600</v>
      </c>
      <c r="B10">
        <v>45</v>
      </c>
      <c r="C10" cm="1">
        <f t="array" ref="C10">SUMPRODUCT(A10:A14-B10:B14)</f>
        <v>555</v>
      </c>
      <c r="G10">
        <f t="shared" si="0"/>
        <v>1</v>
      </c>
    </row>
  </sheetData>
  <conditionalFormatting sqref="G6:G10">
    <cfRule type="iconSet" priority="1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IFORANDXORIFS</vt:lpstr>
      <vt:lpstr>SearchSpecificText</vt:lpstr>
      <vt:lpstr>ABSSWITCH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</dc:creator>
  <cp:lastModifiedBy>govindparab09@outlook.com</cp:lastModifiedBy>
  <dcterms:created xsi:type="dcterms:W3CDTF">2015-06-05T18:17:20Z</dcterms:created>
  <dcterms:modified xsi:type="dcterms:W3CDTF">2026-01-26T12:55:51Z</dcterms:modified>
</cp:coreProperties>
</file>