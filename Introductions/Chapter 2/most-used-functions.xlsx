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C2E848CF-CA8C-4FE5-807B-B148EA0F3F9A}" xr6:coauthVersionLast="47" xr6:coauthVersionMax="47" xr10:uidLastSave="{00000000-0000-0000-0000-000000000000}"/>
  <bookViews>
    <workbookView xWindow="-108" yWindow="-108" windowWidth="23256" windowHeight="12456" firstSheet="8" activeTab="15" xr2:uid="{25CDB4FC-9326-4297-B335-E190D55AC346}"/>
  </bookViews>
  <sheets>
    <sheet name="COUNT" sheetId="2" r:id="rId1"/>
    <sheet name="SUM" sheetId="3" r:id="rId2"/>
    <sheet name="IF" sheetId="4" r:id="rId3"/>
    <sheet name="AVERAGE" sheetId="5" r:id="rId4"/>
    <sheet name="COUNTIF" sheetId="6" r:id="rId5"/>
    <sheet name="SUMIF" sheetId="7" r:id="rId6"/>
    <sheet name="VLOOKUP" sheetId="8" r:id="rId7"/>
    <sheet name="MIN" sheetId="11" r:id="rId8"/>
    <sheet name="MAX" sheetId="14" r:id="rId9"/>
    <sheet name="SUMPRODUCT" sheetId="12" r:id="rId10"/>
    <sheet name="SUBTRACT" sheetId="15" r:id="rId11"/>
    <sheet name="MULTIPLY" sheetId="16" r:id="rId12"/>
    <sheet name="Divide" sheetId="17" r:id="rId13"/>
    <sheet name="SQUAREROOT" sheetId="18" r:id="rId14"/>
    <sheet name="Percentage" sheetId="19" r:id="rId15"/>
    <sheet name="NamedRange" sheetId="20" r:id="rId16"/>
  </sheets>
  <externalReferences>
    <externalReference r:id="rId17"/>
    <externalReference r:id="rId18"/>
  </externalReferences>
  <definedNames>
    <definedName name="Ages">'[1]More about Countif'!$A$1:$A$6</definedName>
    <definedName name="apr">NamedRange!$G$5:$I$5</definedName>
    <definedName name="cookie">NamedRange!$H$2:$H$8</definedName>
    <definedName name="feb">NamedRange!$G$3:$I$3</definedName>
    <definedName name="jan">NamedRange!$G$2:$I$2</definedName>
    <definedName name="jul">NamedRange!$G$8:$I$8</definedName>
    <definedName name="jun">NamedRange!$G$7:$I$7</definedName>
    <definedName name="mar">NamedRange!$G$4:$I$4</definedName>
    <definedName name="may">NamedRange!$G$6:$I$6</definedName>
    <definedName name="pickle">NamedRange!$I$2:$I$8</definedName>
    <definedName name="prices">NamedRange!$A$1:$A$10</definedName>
    <definedName name="soap">NamedRange!$G$2:$G$8</definedName>
    <definedName name="Table1">'[2]Multiple Lookup Tables'!$G$4:$H$9</definedName>
    <definedName name="Table2">'[2]Multiple Lookup Tables'!$J$4:$K$6</definedName>
    <definedName name="taxrate">0.1</definedName>
    <definedName name="values">OFFSET(NamedRange!$N$3,3,0,COUNTA(NamedRange!$N:$N),1)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 a="1"/>
  <c r="L4" i="20" s="1"/>
  <c r="L3" i="20" a="1"/>
  <c r="L3" i="20" s="1"/>
  <c r="C1" i="20" a="1"/>
  <c r="C1" i="20" s="1"/>
  <c r="A12" i="20"/>
  <c r="K13" i="19"/>
  <c r="K11" i="19"/>
  <c r="L4" i="19"/>
  <c r="K4" i="19"/>
  <c r="E5" i="19"/>
  <c r="C10" i="19"/>
  <c r="C7" i="19"/>
  <c r="C5" i="19"/>
  <c r="C3" i="19"/>
  <c r="C4" i="18"/>
  <c r="A4" i="18"/>
  <c r="E2" i="18"/>
  <c r="E1" i="18"/>
  <c r="B2" i="18"/>
  <c r="A2" i="18"/>
  <c r="B1" i="18"/>
  <c r="A1" i="18"/>
  <c r="N2" i="17"/>
  <c r="N3" i="17"/>
  <c r="N4" i="17"/>
  <c r="N5" i="17"/>
  <c r="N6" i="17"/>
  <c r="N7" i="17"/>
  <c r="N8" i="17"/>
  <c r="N9" i="17"/>
  <c r="N10" i="17"/>
  <c r="N1" i="17"/>
  <c r="I3" i="17"/>
  <c r="I4" i="17"/>
  <c r="I5" i="17"/>
  <c r="I6" i="17"/>
  <c r="I7" i="17"/>
  <c r="I8" i="17"/>
  <c r="I9" i="17"/>
  <c r="I10" i="17"/>
  <c r="I2" i="17"/>
  <c r="H3" i="17"/>
  <c r="H4" i="17"/>
  <c r="H5" i="17"/>
  <c r="H6" i="17"/>
  <c r="H7" i="17"/>
  <c r="H8" i="17"/>
  <c r="H9" i="17"/>
  <c r="H10" i="17"/>
  <c r="H2" i="17"/>
  <c r="G2" i="17"/>
  <c r="G3" i="17"/>
  <c r="G4" i="17"/>
  <c r="G5" i="17"/>
  <c r="G6" i="17"/>
  <c r="G7" i="17"/>
  <c r="G8" i="17"/>
  <c r="G9" i="17"/>
  <c r="G10" i="17"/>
  <c r="G1" i="17"/>
  <c r="C2" i="17"/>
  <c r="C3" i="17"/>
  <c r="C4" i="17"/>
  <c r="C5" i="17"/>
  <c r="C6" i="17"/>
  <c r="C7" i="17"/>
  <c r="C8" i="17"/>
  <c r="C9" i="17"/>
  <c r="C10" i="17"/>
  <c r="C1" i="17"/>
  <c r="O2" i="16"/>
  <c r="O3" i="16"/>
  <c r="O4" i="16"/>
  <c r="O5" i="16"/>
  <c r="O6" i="16"/>
  <c r="O7" i="16"/>
  <c r="O8" i="16"/>
  <c r="O9" i="16"/>
  <c r="O10" i="16"/>
  <c r="O11" i="16"/>
  <c r="O1" i="16"/>
  <c r="L2" i="16"/>
  <c r="L3" i="16"/>
  <c r="L4" i="16"/>
  <c r="L5" i="16"/>
  <c r="L6" i="16"/>
  <c r="L7" i="16"/>
  <c r="L8" i="16"/>
  <c r="L9" i="16"/>
  <c r="L10" i="16"/>
  <c r="L11" i="16"/>
  <c r="L1" i="16"/>
  <c r="G9" i="16"/>
  <c r="E9" i="16"/>
  <c r="C1" i="16"/>
  <c r="A13" i="16"/>
  <c r="F2" i="15"/>
  <c r="F3" i="15"/>
  <c r="F4" i="15"/>
  <c r="F5" i="15"/>
  <c r="F6" i="15"/>
  <c r="F7" i="15"/>
  <c r="F8" i="15"/>
  <c r="F9" i="15"/>
  <c r="F10" i="15"/>
  <c r="F1" i="15"/>
  <c r="C12" i="15"/>
  <c r="A12" i="15"/>
  <c r="C7" i="12"/>
  <c r="D7" i="12" s="1" a="1"/>
  <c r="D7" i="12" s="1"/>
  <c r="A3" i="14"/>
  <c r="B3" i="14" s="1" a="1"/>
  <c r="B3" i="14" s="1"/>
  <c r="A3" i="11"/>
  <c r="B3" i="11" s="1" a="1"/>
  <c r="B3" i="11" s="1"/>
  <c r="H3" i="8"/>
  <c r="I3" i="8" s="1" a="1"/>
  <c r="I3" i="8" s="1"/>
  <c r="B7" i="7"/>
  <c r="A9" i="6"/>
  <c r="A12" i="5"/>
  <c r="A10" i="5" a="1"/>
  <c r="A10" i="5" s="1"/>
  <c r="A8" i="5" a="1"/>
  <c r="A8" i="5" s="1"/>
  <c r="C3" i="4"/>
  <c r="D3" i="4" s="1" a="1"/>
  <c r="D3" i="4" s="1"/>
  <c r="C4" i="4"/>
  <c r="C5" i="4"/>
  <c r="C6" i="4"/>
  <c r="C2" i="4"/>
  <c r="D2" i="4" s="1" a="1"/>
  <c r="D2" i="4" s="1"/>
  <c r="N2" i="3"/>
  <c r="D2" i="3"/>
  <c r="E2" i="3" s="1" a="1"/>
  <c r="E2" i="3" s="1"/>
  <c r="C9" i="2"/>
  <c r="A9" i="2"/>
  <c r="D6" i="4" a="1"/>
  <c r="D6" i="4" s="1"/>
  <c r="D4" i="4" a="1"/>
  <c r="D4" i="4" s="1"/>
  <c r="D5" i="4" a="1"/>
  <c r="D5" i="4" s="1"/>
  <c r="Q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<sst xmlns="http://schemas.openxmlformats.org/spreadsheetml/2006/main" count="75" uniqueCount="68">
  <si>
    <t>moon</t>
  </si>
  <si>
    <t>sun</t>
  </si>
  <si>
    <t>Sum</t>
  </si>
  <si>
    <t>Sharon</t>
  </si>
  <si>
    <t>Lisa</t>
  </si>
  <si>
    <t>James</t>
  </si>
  <si>
    <t>Jennifer</t>
  </si>
  <si>
    <t>Richard</t>
  </si>
  <si>
    <t>Result</t>
  </si>
  <si>
    <t>Score</t>
  </si>
  <si>
    <t>Name</t>
  </si>
  <si>
    <t>star12</t>
  </si>
  <si>
    <t>star</t>
  </si>
  <si>
    <t xml:space="preserve"> star</t>
  </si>
  <si>
    <t>stars</t>
  </si>
  <si>
    <t>triangle5</t>
  </si>
  <si>
    <t>circle8</t>
  </si>
  <si>
    <t>circle</t>
  </si>
  <si>
    <t>triangle</t>
  </si>
  <si>
    <t>circle6</t>
  </si>
  <si>
    <t>ID</t>
  </si>
  <si>
    <t>First Name</t>
  </si>
  <si>
    <t>Last Name</t>
  </si>
  <si>
    <t>Salary</t>
  </si>
  <si>
    <t>Emily</t>
  </si>
  <si>
    <t>Smith</t>
  </si>
  <si>
    <t>Anderson</t>
  </si>
  <si>
    <t>Mia</t>
  </si>
  <si>
    <t>Clark</t>
  </si>
  <si>
    <t>John</t>
  </si>
  <si>
    <t>Lewis</t>
  </si>
  <si>
    <t>Jessica</t>
  </si>
  <si>
    <t>Walker</t>
  </si>
  <si>
    <t>Mark</t>
  </si>
  <si>
    <t>Reed</t>
  </si>
  <si>
    <t>Lopez</t>
  </si>
  <si>
    <t>Product</t>
  </si>
  <si>
    <t>Quantity</t>
  </si>
  <si>
    <t>Price</t>
  </si>
  <si>
    <t>Computer</t>
  </si>
  <si>
    <t>Keyboard</t>
  </si>
  <si>
    <t>Mouse</t>
  </si>
  <si>
    <t>Printer</t>
  </si>
  <si>
    <t>Total</t>
  </si>
  <si>
    <t>counta function</t>
  </si>
  <si>
    <t>count function</t>
  </si>
  <si>
    <t>sum</t>
  </si>
  <si>
    <t>average of top three smallest value</t>
  </si>
  <si>
    <t>average of top three largest values</t>
  </si>
  <si>
    <t>average</t>
  </si>
  <si>
    <t>counts only if it contains star</t>
  </si>
  <si>
    <t>sum if cell has text circle and a single digit</t>
  </si>
  <si>
    <t>or</t>
  </si>
  <si>
    <t>this gets the integer part</t>
  </si>
  <si>
    <t>soap</t>
  </si>
  <si>
    <t>cookie</t>
  </si>
  <si>
    <t>pickle</t>
  </si>
  <si>
    <t>jan</t>
  </si>
  <si>
    <t>feb</t>
  </si>
  <si>
    <t>mar</t>
  </si>
  <si>
    <t>apr</t>
  </si>
  <si>
    <t>may</t>
  </si>
  <si>
    <t>jun</t>
  </si>
  <si>
    <t>jul</t>
  </si>
  <si>
    <t>jan pickle</t>
  </si>
  <si>
    <t>mar cookie</t>
  </si>
  <si>
    <t>Dynamic Range</t>
  </si>
  <si>
    <t>dynamic range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</si>
</sst>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Wingdings 2"/>
      <family val="1"/>
      <charset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center" vertical="center"/>
    </xf>
    <xf numFmtId="0" fontId="2" fillId="0" borderId="0" xfId="1" applyProtection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1" applyFill="1"/>
    <xf numFmtId="0" fontId="2" fillId="0" borderId="0" xfId="1"/>
    <xf numFmtId="0" fontId="0" fillId="2" borderId="0" xfId="0" applyFill="1"/>
    <xf numFmtId="0" fontId="0" fillId="2" borderId="0" xfId="0" quotePrefix="1" applyFill="1"/>
    <xf numFmtId="164" fontId="0" fillId="2" borderId="0" xfId="0" applyNumberFormat="1" applyFill="1"/>
    <xf numFmtId="0" fontId="0" fillId="0" borderId="0" xfId="0" applyAlignment="1">
      <alignment horizontal="center" vertical="center"/>
    </xf>
    <xf numFmtId="9" fontId="0" fillId="0" borderId="0" xfId="2" applyFont="1"/>
    <xf numFmtId="165" fontId="0" fillId="0" borderId="0" xfId="2" applyNumberFormat="1" applyFont="1"/>
    <xf numFmtId="0" fontId="0" fillId="0" borderId="0" xfId="2" applyNumberFormat="1" applyFont="1"/>
    <xf numFmtId="10" fontId="0" fillId="0" borderId="0" xfId="2" applyNumberFormat="1" applyFont="1"/>
    <xf numFmtId="0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13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els/Downloads/counti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els/Downloads/v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meric Criteria"/>
      <sheetName val="Text Tricks"/>
      <sheetName val="Count Booleans"/>
      <sheetName val="Count Errors"/>
      <sheetName val="And Criteria"/>
      <sheetName val="Or Criteria"/>
      <sheetName val="More about Countif"/>
      <sheetName val="Count Ma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>
            <v>15</v>
          </cell>
        </row>
        <row r="2">
          <cell r="A2">
            <v>32</v>
          </cell>
        </row>
        <row r="3">
          <cell r="A3">
            <v>24</v>
          </cell>
        </row>
        <row r="4">
          <cell r="A4">
            <v>38</v>
          </cell>
        </row>
        <row r="5">
          <cell r="A5">
            <v>24</v>
          </cell>
        </row>
        <row r="6">
          <cell r="A6">
            <v>60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ct Match"/>
      <sheetName val="Approximate Match"/>
      <sheetName val="Vlookup Looks Right"/>
      <sheetName val="First Match"/>
      <sheetName val="Vlookup is Case-insensitive"/>
      <sheetName val="Multiple Criteria"/>
      <sheetName val="#NA error"/>
      <sheetName val="Multiple 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>
            <v>0</v>
          </cell>
          <cell r="H4">
            <v>0</v>
          </cell>
          <cell r="J4">
            <v>0</v>
          </cell>
          <cell r="K4">
            <v>100</v>
          </cell>
        </row>
        <row r="5">
          <cell r="G5">
            <v>2000</v>
          </cell>
          <cell r="H5">
            <v>400</v>
          </cell>
          <cell r="J5">
            <v>5000</v>
          </cell>
          <cell r="K5">
            <v>1000</v>
          </cell>
        </row>
        <row r="6">
          <cell r="G6">
            <v>4000</v>
          </cell>
          <cell r="H6">
            <v>600</v>
          </cell>
          <cell r="J6">
            <v>10000</v>
          </cell>
          <cell r="K6">
            <v>1500</v>
          </cell>
        </row>
        <row r="7">
          <cell r="G7">
            <v>6000</v>
          </cell>
          <cell r="H7">
            <v>700</v>
          </cell>
        </row>
        <row r="8">
          <cell r="G8">
            <v>8000</v>
          </cell>
          <cell r="H8">
            <v>900</v>
          </cell>
        </row>
        <row r="9">
          <cell r="G9">
            <v>10000</v>
          </cell>
          <cell r="H9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21BE-AD6A-46DF-B99F-04FC708E9DE0}">
  <dimension ref="A1:D14"/>
  <sheetViews>
    <sheetView workbookViewId="0">
      <selection activeCell="A13" sqref="A13:G15"/>
    </sheetView>
  </sheetViews>
  <sheetFormatPr defaultColWidth="9.109375" defaultRowHeight="14.4" x14ac:dyDescent="0.3"/>
  <cols>
    <col min="1" max="1" width="9.33203125" customWidth="1"/>
    <col min="2" max="3" width="9.109375" customWidth="1"/>
    <col min="7" max="7" width="9.109375" customWidth="1"/>
    <col min="9" max="9" width="9.109375" customWidth="1"/>
  </cols>
  <sheetData>
    <row r="1" spans="1:4" x14ac:dyDescent="0.3">
      <c r="A1">
        <v>2</v>
      </c>
    </row>
    <row r="2" spans="1:4" x14ac:dyDescent="0.3">
      <c r="A2" t="s">
        <v>1</v>
      </c>
    </row>
    <row r="3" spans="1:4" x14ac:dyDescent="0.3">
      <c r="A3" t="s">
        <v>0</v>
      </c>
    </row>
    <row r="4" spans="1:4" x14ac:dyDescent="0.3">
      <c r="A4" t="b">
        <v>1</v>
      </c>
    </row>
    <row r="6" spans="1:4" x14ac:dyDescent="0.3">
      <c r="A6">
        <v>7</v>
      </c>
    </row>
    <row r="7" spans="1:4" x14ac:dyDescent="0.3">
      <c r="A7">
        <v>5</v>
      </c>
    </row>
    <row r="9" spans="1:4" x14ac:dyDescent="0.3">
      <c r="A9" s="11">
        <f>COUNT(A1:A8)</f>
        <v>3</v>
      </c>
      <c r="B9" s="14" t="s">
        <v>45</v>
      </c>
      <c r="C9">
        <f>COUNTA(A1:A8)</f>
        <v>6</v>
      </c>
      <c r="D9" t="s">
        <v>44</v>
      </c>
    </row>
    <row r="13" spans="1:4" x14ac:dyDescent="0.3">
      <c r="C13" s="4"/>
    </row>
    <row r="14" spans="1:4" x14ac:dyDescent="0.3">
      <c r="A14" s="4"/>
    </row>
  </sheetData>
  <conditionalFormatting sqref="B9">
    <cfRule type="expression" dxfId="12" priority="1">
      <formula>AND(_xlfn.ISFORMULA(A9),A9=3)</formula>
    </cfRule>
  </conditionalFormatting>
  <dataValidations xWindow="33" yWindow="416" count="1">
    <dataValidation allowBlank="1" showInputMessage="1" showErrorMessage="1" prompt="Count numbers" sqref="A9" xr:uid="{6828E833-5EC2-4DAD-8060-ED81EFA19AA5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31B6-2E4C-4D22-B414-527B238B771C}">
  <dimension ref="A1:N99"/>
  <sheetViews>
    <sheetView workbookViewId="0">
      <selection activeCell="L14" sqref="L14"/>
    </sheetView>
  </sheetViews>
  <sheetFormatPr defaultColWidth="9.109375" defaultRowHeight="14.4" x14ac:dyDescent="0.3"/>
  <cols>
    <col min="1" max="1" width="9.33203125" customWidth="1"/>
  </cols>
  <sheetData>
    <row r="1" spans="1:14" x14ac:dyDescent="0.3">
      <c r="A1">
        <v>10</v>
      </c>
      <c r="G1">
        <v>10</v>
      </c>
      <c r="H1">
        <v>20</v>
      </c>
      <c r="I1">
        <v>30</v>
      </c>
      <c r="J1">
        <v>40</v>
      </c>
      <c r="K1">
        <v>50</v>
      </c>
    </row>
    <row r="2" spans="1:14" ht="15" x14ac:dyDescent="0.3">
      <c r="A2">
        <v>10</v>
      </c>
      <c r="C2" s="1" t="s">
        <v>2</v>
      </c>
      <c r="D2" s="11">
        <f>SUM(A:A)</f>
        <v>41</v>
      </c>
      <c r="E2" s="3" t="str" cm="1">
        <f t="array" ref="E2">_xlfn.IFS(D2="","",AND(_xlfn.ISFORMULA(D2),D2=41),"P",TRUE,"O")</f>
        <v>P</v>
      </c>
      <c r="G2">
        <v>20</v>
      </c>
      <c r="I2">
        <v>30</v>
      </c>
      <c r="M2" t="s">
        <v>46</v>
      </c>
      <c r="N2">
        <f>SUM(G1:K10)</f>
        <v>960</v>
      </c>
    </row>
    <row r="3" spans="1:14" x14ac:dyDescent="0.3">
      <c r="A3">
        <v>10</v>
      </c>
      <c r="G3">
        <v>30</v>
      </c>
      <c r="I3">
        <v>30</v>
      </c>
    </row>
    <row r="4" spans="1:14" x14ac:dyDescent="0.3">
      <c r="A4">
        <v>10</v>
      </c>
      <c r="G4">
        <v>40</v>
      </c>
      <c r="I4">
        <v>30</v>
      </c>
    </row>
    <row r="5" spans="1:14" x14ac:dyDescent="0.3">
      <c r="G5">
        <v>50</v>
      </c>
      <c r="I5">
        <v>30</v>
      </c>
    </row>
    <row r="6" spans="1:14" x14ac:dyDescent="0.3">
      <c r="G6">
        <v>60</v>
      </c>
      <c r="I6">
        <v>30</v>
      </c>
    </row>
    <row r="7" spans="1:14" x14ac:dyDescent="0.3">
      <c r="G7">
        <v>70</v>
      </c>
      <c r="I7">
        <v>30</v>
      </c>
    </row>
    <row r="8" spans="1:14" x14ac:dyDescent="0.3">
      <c r="D8" s="4"/>
      <c r="G8">
        <v>80</v>
      </c>
      <c r="I8">
        <v>30</v>
      </c>
    </row>
    <row r="9" spans="1:14" x14ac:dyDescent="0.3">
      <c r="G9">
        <v>90</v>
      </c>
      <c r="I9">
        <v>30</v>
      </c>
    </row>
    <row r="10" spans="1:14" x14ac:dyDescent="0.3">
      <c r="G10">
        <v>100</v>
      </c>
      <c r="I10">
        <v>30</v>
      </c>
    </row>
    <row r="99" spans="1:1" x14ac:dyDescent="0.3">
      <c r="A99">
        <v>1</v>
      </c>
    </row>
  </sheetData>
  <conditionalFormatting sqref="E2">
    <cfRule type="expression" dxfId="11" priority="1">
      <formula>AND(_xlfn.ISFORMULA(D2),D2=41)</formula>
    </cfRule>
  </conditionalFormatting>
  <dataValidations xWindow="224" yWindow="274" count="1">
    <dataValidation allowBlank="1" showInputMessage="1" showErrorMessage="1" prompt="Sum all values in column A" sqref="D2" xr:uid="{1DAB4E3F-63E7-4DAA-B624-B4C5D2278B3D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F9D7-BD19-4E06-B609-A0A0F62343C6}">
  <dimension ref="A1:D13"/>
  <sheetViews>
    <sheetView workbookViewId="0">
      <selection activeCell="D20" sqref="D20"/>
    </sheetView>
  </sheetViews>
  <sheetFormatPr defaultColWidth="9.109375" defaultRowHeight="14.4" x14ac:dyDescent="0.3"/>
  <cols>
    <col min="1" max="1" width="9.33203125" customWidth="1"/>
  </cols>
  <sheetData>
    <row r="1" spans="1:4" x14ac:dyDescent="0.3">
      <c r="A1" s="1" t="s">
        <v>10</v>
      </c>
      <c r="B1" s="1" t="s">
        <v>9</v>
      </c>
      <c r="C1" s="1" t="s">
        <v>8</v>
      </c>
    </row>
    <row r="2" spans="1:4" ht="15" x14ac:dyDescent="0.3">
      <c r="A2" t="s">
        <v>7</v>
      </c>
      <c r="B2">
        <v>93</v>
      </c>
      <c r="C2" s="11" t="str">
        <f>IF(B2&gt;60,"Pass","Fail")</f>
        <v>Pass</v>
      </c>
      <c r="D2" s="3" t="str" cm="1">
        <f t="array" ref="D2">_xlfn.IFS(C2="","",AND(_xlfn.ISFORMULA(C2),C2="Pass"),"P",TRUE,"O")</f>
        <v>P</v>
      </c>
    </row>
    <row r="3" spans="1:4" ht="15" x14ac:dyDescent="0.3">
      <c r="A3" t="s">
        <v>6</v>
      </c>
      <c r="B3">
        <v>60</v>
      </c>
      <c r="C3" s="11" t="str">
        <f t="shared" ref="C3:C6" si="0">IF(B3&gt;60,"Pass","Fail")</f>
        <v>Fail</v>
      </c>
      <c r="D3" s="3" t="str" cm="1">
        <f t="array" ref="D3">_xlfn.IFS(C3="","",AND(_xlfn.ISFORMULA(C3),C3="Pass"),"P",TRUE,"O")</f>
        <v>O</v>
      </c>
    </row>
    <row r="4" spans="1:4" ht="15" x14ac:dyDescent="0.3">
      <c r="A4" t="s">
        <v>5</v>
      </c>
      <c r="B4">
        <v>58</v>
      </c>
      <c r="C4" s="11" t="str">
        <f t="shared" si="0"/>
        <v>Fail</v>
      </c>
      <c r="D4" s="3" t="str" cm="1">
        <f t="array" ref="D4">_xlfn.IFS(C4="","",AND(_xlfn.ISFORMULA(C4),C4="Fail"),"P",TRUE,"O")</f>
        <v>P</v>
      </c>
    </row>
    <row r="5" spans="1:4" ht="15" x14ac:dyDescent="0.3">
      <c r="A5" t="s">
        <v>4</v>
      </c>
      <c r="B5">
        <v>79</v>
      </c>
      <c r="C5" s="11" t="str">
        <f t="shared" si="0"/>
        <v>Pass</v>
      </c>
      <c r="D5" s="3" t="str" cm="1">
        <f t="array" ref="D5">_xlfn.IFS(C5="","",AND(_xlfn.ISFORMULA(C5),C5="Pass"),"P",TRUE,"O")</f>
        <v>P</v>
      </c>
    </row>
    <row r="6" spans="1:4" ht="15" x14ac:dyDescent="0.3">
      <c r="A6" t="s">
        <v>3</v>
      </c>
      <c r="B6">
        <v>41</v>
      </c>
      <c r="C6" s="11" t="str">
        <f t="shared" si="0"/>
        <v>Fail</v>
      </c>
      <c r="D6" s="3" t="str" cm="1">
        <f t="array" ref="D6">_xlfn.IFS(C6="","",AND(_xlfn.ISFORMULA(C6),C6="Fail"),"P",TRUE,"O")</f>
        <v>P</v>
      </c>
    </row>
    <row r="13" spans="1:4" x14ac:dyDescent="0.3">
      <c r="C13" s="10"/>
    </row>
  </sheetData>
  <dataConsolidate/>
  <conditionalFormatting sqref="D2:D3">
    <cfRule type="expression" dxfId="10" priority="4">
      <formula>AND(_xlfn.ISFORMULA(C2),C2="Pass")</formula>
    </cfRule>
  </conditionalFormatting>
  <conditionalFormatting sqref="D4">
    <cfRule type="expression" dxfId="9" priority="3">
      <formula>AND(_xlfn.ISFORMULA(C4),C4="Fail")</formula>
    </cfRule>
  </conditionalFormatting>
  <conditionalFormatting sqref="D5">
    <cfRule type="expression" dxfId="8" priority="2">
      <formula>AND(_xlfn.ISFORMULA(C5),C5="Pass")</formula>
    </cfRule>
  </conditionalFormatting>
  <conditionalFormatting sqref="D6">
    <cfRule type="expression" dxfId="7" priority="1">
      <formula>AND(_xlfn.ISFORMULA(C6),C6="Fail")</formula>
    </cfRule>
  </conditionalFormatting>
  <dataValidations xWindow="186" yWindow="289" count="1">
    <dataValidation allowBlank="1" showInputMessage="1" showErrorMessage="1" prompt="If score is greater than or equal to 60, return Pass, else return Fail" sqref="C2:C6" xr:uid="{909FB965-0744-4C69-AB58-AFFBE5249375}"/>
  </dataValidations>
  <pageMargins left="0.7" right="0.7" top="0.75" bottom="0.75" header="0.3" footer="0.3"/>
  <pageSetup paperSize="9" orientation="portrait" r:id="rId1"/>
  <ignoredErrors>
    <ignoredError sqref="D4:D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46ED-F764-4EFF-B4FD-854BD9F06A23}">
  <dimension ref="A1:B15"/>
  <sheetViews>
    <sheetView workbookViewId="0">
      <selection activeCell="E19" sqref="E19"/>
    </sheetView>
  </sheetViews>
  <sheetFormatPr defaultRowHeight="14.4" x14ac:dyDescent="0.3"/>
  <cols>
    <col min="1" max="1" width="9.33203125" customWidth="1"/>
  </cols>
  <sheetData>
    <row r="1" spans="1:2" x14ac:dyDescent="0.3">
      <c r="A1">
        <v>9</v>
      </c>
    </row>
    <row r="2" spans="1:2" x14ac:dyDescent="0.3">
      <c r="A2">
        <v>15</v>
      </c>
    </row>
    <row r="3" spans="1:2" x14ac:dyDescent="0.3">
      <c r="A3">
        <v>2</v>
      </c>
    </row>
    <row r="4" spans="1:2" x14ac:dyDescent="0.3">
      <c r="A4">
        <v>10</v>
      </c>
    </row>
    <row r="5" spans="1:2" x14ac:dyDescent="0.3">
      <c r="A5">
        <v>1</v>
      </c>
    </row>
    <row r="6" spans="1:2" x14ac:dyDescent="0.3">
      <c r="A6">
        <v>20</v>
      </c>
    </row>
    <row r="8" spans="1:2" x14ac:dyDescent="0.3">
      <c r="A8" s="11" cm="1">
        <f t="array" ref="A8">AVERAGE(LARGE(A1:A7,{1,2,3}))</f>
        <v>15</v>
      </c>
      <c r="B8" s="14" t="s">
        <v>48</v>
      </c>
    </row>
    <row r="10" spans="1:2" x14ac:dyDescent="0.3">
      <c r="A10" cm="1">
        <f t="array" ref="A10">AVERAGE(SMALL(A1:A7,{1,2,3}))</f>
        <v>4</v>
      </c>
      <c r="B10" t="s">
        <v>47</v>
      </c>
    </row>
    <row r="12" spans="1:2" x14ac:dyDescent="0.3">
      <c r="A12">
        <f>AVERAGE(A1:A7)</f>
        <v>9.5</v>
      </c>
      <c r="B12" t="s">
        <v>49</v>
      </c>
    </row>
    <row r="15" spans="1:2" x14ac:dyDescent="0.3">
      <c r="A15" s="9"/>
    </row>
  </sheetData>
  <conditionalFormatting sqref="B8">
    <cfRule type="expression" dxfId="6" priority="1">
      <formula>AND(_xlfn.ISFORMULA(A8),A8=15)</formula>
    </cfRule>
  </conditionalFormatting>
  <dataValidations count="1">
    <dataValidation allowBlank="1" showInputMessage="1" showErrorMessage="1" prompt="Calculate average of top 3 numbers" sqref="A8" xr:uid="{58403B85-A6D4-4310-B848-7DD18F9AD5BA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BAC5-1EE0-4470-9173-2392BFB39225}">
  <dimension ref="A1:B16"/>
  <sheetViews>
    <sheetView workbookViewId="0">
      <selection activeCell="F23" sqref="F23"/>
    </sheetView>
  </sheetViews>
  <sheetFormatPr defaultRowHeight="14.4" x14ac:dyDescent="0.3"/>
  <cols>
    <col min="1" max="1" width="9.33203125" customWidth="1"/>
  </cols>
  <sheetData>
    <row r="1" spans="1:2" x14ac:dyDescent="0.3">
      <c r="A1" t="s">
        <v>12</v>
      </c>
    </row>
    <row r="2" spans="1:2" x14ac:dyDescent="0.3">
      <c r="A2" t="s">
        <v>0</v>
      </c>
    </row>
    <row r="3" spans="1:2" x14ac:dyDescent="0.3">
      <c r="A3" t="s">
        <v>14</v>
      </c>
    </row>
    <row r="4" spans="1:2" x14ac:dyDescent="0.3">
      <c r="A4">
        <v>9</v>
      </c>
    </row>
    <row r="5" spans="1:2" x14ac:dyDescent="0.3">
      <c r="A5" t="s">
        <v>13</v>
      </c>
    </row>
    <row r="6" spans="1:2" x14ac:dyDescent="0.3">
      <c r="A6" t="s">
        <v>12</v>
      </c>
    </row>
    <row r="7" spans="1:2" x14ac:dyDescent="0.3">
      <c r="A7" t="s">
        <v>11</v>
      </c>
    </row>
    <row r="9" spans="1:2" x14ac:dyDescent="0.3">
      <c r="A9" s="12">
        <f>COUNTIF(A1:A8,"star*")</f>
        <v>4</v>
      </c>
      <c r="B9" s="14" t="s">
        <v>50</v>
      </c>
    </row>
    <row r="10" spans="1:2" x14ac:dyDescent="0.3">
      <c r="A10" s="2"/>
    </row>
    <row r="16" spans="1:2" x14ac:dyDescent="0.3">
      <c r="A16" s="9"/>
    </row>
  </sheetData>
  <conditionalFormatting sqref="B9">
    <cfRule type="expression" dxfId="5" priority="1">
      <formula>AND(_xlfn.ISFORMULA(A9),A9=4)</formula>
    </cfRule>
  </conditionalFormatting>
  <dataValidations count="1">
    <dataValidation allowBlank="1" showInputMessage="1" showErrorMessage="1" prompt="Count cells if star + zero or more characters" sqref="A9" xr:uid="{F42523B3-9583-41B7-8F57-E084C6B31539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3F57-A1B7-4629-B741-14DF00A2F782}">
  <dimension ref="A1:C13"/>
  <sheetViews>
    <sheetView workbookViewId="0">
      <selection activeCell="G14" sqref="G14"/>
    </sheetView>
  </sheetViews>
  <sheetFormatPr defaultRowHeight="14.4" x14ac:dyDescent="0.3"/>
  <cols>
    <col min="1" max="1" width="9.33203125" customWidth="1"/>
    <col min="3" max="3" width="9.109375" customWidth="1"/>
  </cols>
  <sheetData>
    <row r="1" spans="1:3" x14ac:dyDescent="0.3">
      <c r="A1" t="s">
        <v>19</v>
      </c>
      <c r="B1">
        <v>10</v>
      </c>
    </row>
    <row r="2" spans="1:3" x14ac:dyDescent="0.3">
      <c r="A2" t="s">
        <v>18</v>
      </c>
      <c r="B2">
        <v>1</v>
      </c>
    </row>
    <row r="3" spans="1:3" x14ac:dyDescent="0.3">
      <c r="A3" t="s">
        <v>17</v>
      </c>
      <c r="B3">
        <v>7</v>
      </c>
    </row>
    <row r="4" spans="1:3" x14ac:dyDescent="0.3">
      <c r="A4" t="s">
        <v>16</v>
      </c>
      <c r="B4">
        <v>20</v>
      </c>
    </row>
    <row r="5" spans="1:3" x14ac:dyDescent="0.3">
      <c r="A5" t="s">
        <v>15</v>
      </c>
      <c r="B5">
        <v>3</v>
      </c>
    </row>
    <row r="7" spans="1:3" x14ac:dyDescent="0.3">
      <c r="B7" s="11">
        <f>SUMIF(A1:A5,"circle?",B1:B5)</f>
        <v>30</v>
      </c>
      <c r="C7" s="14" t="s">
        <v>51</v>
      </c>
    </row>
    <row r="13" spans="1:3" x14ac:dyDescent="0.3">
      <c r="B13" s="9"/>
    </row>
  </sheetData>
  <conditionalFormatting sqref="C7">
    <cfRule type="expression" dxfId="4" priority="1">
      <formula>AND(_xlfn.ISFORMULA(B7),B7=30)</formula>
    </cfRule>
  </conditionalFormatting>
  <dataValidations count="1">
    <dataValidation allowBlank="1" showInputMessage="1" showErrorMessage="1" prompt="Sum values if circle + 1 character" sqref="B7" xr:uid="{6454F77C-9E6E-4B14-BA2C-BFF4DE383517}"/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99E7-394C-48AD-A8AB-1A6A094E18FA}">
  <dimension ref="B2:I11"/>
  <sheetViews>
    <sheetView workbookViewId="0">
      <selection activeCell="J24" sqref="J24"/>
    </sheetView>
  </sheetViews>
  <sheetFormatPr defaultRowHeight="14.4" x14ac:dyDescent="0.3"/>
  <cols>
    <col min="1" max="2" width="3" customWidth="1"/>
    <col min="3" max="3" width="10.5546875" bestFit="1" customWidth="1"/>
    <col min="4" max="4" width="10.109375" bestFit="1" customWidth="1"/>
    <col min="5" max="5" width="9.109375" customWidth="1"/>
    <col min="6" max="6" width="4.88671875" customWidth="1"/>
    <col min="7" max="7" width="10.5546875" bestFit="1" customWidth="1"/>
    <col min="8" max="8" width="10.5546875" customWidth="1"/>
    <col min="9" max="10" width="10.33203125" customWidth="1"/>
  </cols>
  <sheetData>
    <row r="2" spans="2:9" x14ac:dyDescent="0.3">
      <c r="B2" s="1" t="s">
        <v>20</v>
      </c>
      <c r="C2" s="1" t="s">
        <v>21</v>
      </c>
      <c r="D2" s="1" t="s">
        <v>22</v>
      </c>
      <c r="E2" s="1" t="s">
        <v>23</v>
      </c>
      <c r="G2" s="1" t="s">
        <v>20</v>
      </c>
      <c r="H2">
        <v>53</v>
      </c>
    </row>
    <row r="3" spans="2:9" ht="15" x14ac:dyDescent="0.3">
      <c r="B3">
        <v>72</v>
      </c>
      <c r="C3" t="s">
        <v>24</v>
      </c>
      <c r="D3" t="s">
        <v>25</v>
      </c>
      <c r="E3" s="5">
        <v>64901</v>
      </c>
      <c r="G3" s="1" t="s">
        <v>23</v>
      </c>
      <c r="H3" s="13">
        <f>VLOOKUP(H2,B2:E9,4,FALSE)</f>
        <v>58339</v>
      </c>
      <c r="I3" s="3" t="str" cm="1">
        <f t="array" ref="I3">_xlfn.IFS(H3="","",AND(_xlfn.ISFORMULA(H3),H3=58339),"P",TRUE,"O")</f>
        <v>P</v>
      </c>
    </row>
    <row r="4" spans="2:9" x14ac:dyDescent="0.3">
      <c r="B4">
        <v>66</v>
      </c>
      <c r="C4" t="s">
        <v>5</v>
      </c>
      <c r="D4" t="s">
        <v>26</v>
      </c>
      <c r="E4" s="5">
        <v>70855</v>
      </c>
    </row>
    <row r="5" spans="2:9" x14ac:dyDescent="0.3">
      <c r="B5">
        <v>14</v>
      </c>
      <c r="C5" t="s">
        <v>27</v>
      </c>
      <c r="D5" t="s">
        <v>28</v>
      </c>
      <c r="E5" s="5">
        <v>188657</v>
      </c>
      <c r="G5" s="1"/>
      <c r="H5" s="5"/>
    </row>
    <row r="6" spans="2:9" x14ac:dyDescent="0.3">
      <c r="B6">
        <v>30</v>
      </c>
      <c r="C6" t="s">
        <v>29</v>
      </c>
      <c r="D6" t="s">
        <v>30</v>
      </c>
      <c r="E6" s="5">
        <v>97566</v>
      </c>
    </row>
    <row r="7" spans="2:9" x14ac:dyDescent="0.3">
      <c r="B7">
        <v>53</v>
      </c>
      <c r="C7" t="s">
        <v>31</v>
      </c>
      <c r="D7" t="s">
        <v>32</v>
      </c>
      <c r="E7" s="5">
        <v>58339</v>
      </c>
    </row>
    <row r="8" spans="2:9" x14ac:dyDescent="0.3">
      <c r="B8">
        <v>56</v>
      </c>
      <c r="C8" t="s">
        <v>33</v>
      </c>
      <c r="D8" t="s">
        <v>34</v>
      </c>
      <c r="E8" s="5">
        <v>125180</v>
      </c>
    </row>
    <row r="9" spans="2:9" x14ac:dyDescent="0.3">
      <c r="B9">
        <v>79</v>
      </c>
      <c r="C9" t="s">
        <v>7</v>
      </c>
      <c r="D9" t="s">
        <v>35</v>
      </c>
      <c r="E9" s="5">
        <v>91632</v>
      </c>
      <c r="H9" s="9"/>
    </row>
    <row r="10" spans="2:9" x14ac:dyDescent="0.3">
      <c r="E10" s="5"/>
    </row>
    <row r="11" spans="2:9" x14ac:dyDescent="0.3">
      <c r="E11" s="5"/>
    </row>
  </sheetData>
  <conditionalFormatting sqref="I3">
    <cfRule type="expression" dxfId="3" priority="1">
      <formula>AND(_xlfn.ISFORMULA(H3),H3=58339)</formula>
    </cfRule>
  </conditionalFormatting>
  <dataValidations count="1">
    <dataValidation allowBlank="1" showInputMessage="1" showErrorMessage="1" prompt="Lookup salary of ID" sqref="H3" xr:uid="{96A7D4C1-2336-402B-A24B-F8598346B5D2}"/>
  </dataValidation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4A5-3DB7-44FE-ACD1-62A0FF64F23C}">
  <dimension ref="A1:O9"/>
  <sheetViews>
    <sheetView workbookViewId="0">
      <selection activeCell="AF18" sqref="AF18"/>
    </sheetView>
  </sheetViews>
  <sheetFormatPr defaultColWidth="5.109375" defaultRowHeight="14.4" x14ac:dyDescent="0.3"/>
  <cols>
    <col min="1" max="15" width="5.109375" customWidth="1"/>
    <col min="16" max="16" width="5.33203125" customWidth="1"/>
  </cols>
  <sheetData>
    <row r="1" spans="1:15" x14ac:dyDescent="0.3">
      <c r="A1">
        <v>0</v>
      </c>
      <c r="B1">
        <v>7</v>
      </c>
      <c r="C1">
        <v>8</v>
      </c>
      <c r="D1">
        <v>6</v>
      </c>
      <c r="E1">
        <v>5</v>
      </c>
      <c r="F1">
        <v>9</v>
      </c>
      <c r="G1">
        <v>8</v>
      </c>
      <c r="H1">
        <v>7</v>
      </c>
      <c r="I1">
        <v>4</v>
      </c>
      <c r="J1">
        <v>8</v>
      </c>
      <c r="K1">
        <v>0</v>
      </c>
      <c r="L1">
        <v>3</v>
      </c>
      <c r="M1">
        <v>5</v>
      </c>
      <c r="N1">
        <v>6</v>
      </c>
      <c r="O1">
        <v>8</v>
      </c>
    </row>
    <row r="3" spans="1:15" ht="15" x14ac:dyDescent="0.3">
      <c r="A3" s="11">
        <f>MIN(1:1)</f>
        <v>0</v>
      </c>
      <c r="B3" s="3" t="str" cm="1">
        <f t="array" ref="B3">_xlfn.IFS(A3="","",AND(_xlfn.ISFORMULA(A3),A3=0),"P",TRUE,"O")</f>
        <v>P</v>
      </c>
    </row>
    <row r="9" spans="1:15" x14ac:dyDescent="0.3">
      <c r="A9" s="10"/>
    </row>
  </sheetData>
  <conditionalFormatting sqref="B3">
    <cfRule type="expression" dxfId="2" priority="1">
      <formula>AND(_xlfn.ISFORMULA(A3),A3=0)</formula>
    </cfRule>
  </conditionalFormatting>
  <dataValidations count="1">
    <dataValidation allowBlank="1" showInputMessage="1" showErrorMessage="1" prompt="Find minimum value" sqref="A3" xr:uid="{C9E1CF6D-A300-44E9-AC16-57409FA0CBA1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EF39-FC92-45C6-B1F9-9D2D230C21E8}">
  <dimension ref="A1:O9"/>
  <sheetViews>
    <sheetView workbookViewId="0">
      <selection activeCell="X20" sqref="X20"/>
    </sheetView>
  </sheetViews>
  <sheetFormatPr defaultColWidth="5.109375" defaultRowHeight="14.4" x14ac:dyDescent="0.3"/>
  <cols>
    <col min="1" max="15" width="5.109375" customWidth="1"/>
    <col min="16" max="16" width="5.33203125" customWidth="1"/>
  </cols>
  <sheetData>
    <row r="1" spans="1:15" x14ac:dyDescent="0.3">
      <c r="A1">
        <v>0</v>
      </c>
      <c r="B1">
        <v>7</v>
      </c>
      <c r="C1">
        <v>8</v>
      </c>
      <c r="D1">
        <v>6</v>
      </c>
      <c r="E1">
        <v>5</v>
      </c>
      <c r="F1">
        <v>9</v>
      </c>
      <c r="G1">
        <v>8</v>
      </c>
      <c r="H1">
        <v>7</v>
      </c>
      <c r="I1">
        <v>4</v>
      </c>
      <c r="J1">
        <v>8</v>
      </c>
      <c r="K1">
        <v>0</v>
      </c>
      <c r="L1">
        <v>3</v>
      </c>
      <c r="M1">
        <v>5</v>
      </c>
      <c r="N1">
        <v>6</v>
      </c>
      <c r="O1">
        <v>8</v>
      </c>
    </row>
    <row r="3" spans="1:15" ht="15" x14ac:dyDescent="0.3">
      <c r="A3" s="11">
        <f>MAX(1:1)</f>
        <v>9</v>
      </c>
      <c r="B3" s="3" t="str" cm="1">
        <f t="array" ref="B3">_xlfn.IFS(A3="","",AND(_xlfn.ISFORMULA(A3),A3=9),"P",TRUE,"O")</f>
        <v>P</v>
      </c>
    </row>
    <row r="9" spans="1:15" x14ac:dyDescent="0.3">
      <c r="A9" s="10"/>
    </row>
  </sheetData>
  <conditionalFormatting sqref="B3">
    <cfRule type="expression" dxfId="1" priority="1">
      <formula>AND(_xlfn.ISFORMULA(A3),A3=9)</formula>
    </cfRule>
  </conditionalFormatting>
  <dataValidations count="1">
    <dataValidation allowBlank="1" showInputMessage="1" showErrorMessage="1" prompt="Find maximum value" sqref="A3" xr:uid="{B39DD978-EAFD-4595-8D67-0622ADCA72BA}"/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3988-4264-4D33-9A7B-E4C9888606EE}">
  <dimension ref="A1:D13"/>
  <sheetViews>
    <sheetView workbookViewId="0">
      <selection activeCell="P20" sqref="P20"/>
    </sheetView>
  </sheetViews>
  <sheetFormatPr defaultRowHeight="14.4" x14ac:dyDescent="0.3"/>
  <cols>
    <col min="1" max="1" width="10" customWidth="1"/>
    <col min="2" max="3" width="9.109375" customWidth="1"/>
    <col min="4" max="7" width="9" customWidth="1"/>
    <col min="9" max="9" width="9" customWidth="1"/>
  </cols>
  <sheetData>
    <row r="1" spans="1:4" x14ac:dyDescent="0.3">
      <c r="A1" s="6" t="s">
        <v>36</v>
      </c>
      <c r="B1" s="7" t="s">
        <v>37</v>
      </c>
      <c r="C1" s="6" t="s">
        <v>38</v>
      </c>
    </row>
    <row r="2" spans="1:4" x14ac:dyDescent="0.3">
      <c r="A2" t="s">
        <v>39</v>
      </c>
      <c r="B2" s="8">
        <v>2</v>
      </c>
      <c r="C2">
        <v>1000</v>
      </c>
    </row>
    <row r="3" spans="1:4" x14ac:dyDescent="0.3">
      <c r="A3" t="s">
        <v>40</v>
      </c>
      <c r="B3" s="8">
        <v>4</v>
      </c>
      <c r="C3">
        <v>250</v>
      </c>
    </row>
    <row r="4" spans="1:4" x14ac:dyDescent="0.3">
      <c r="A4" t="s">
        <v>41</v>
      </c>
      <c r="B4" s="8">
        <v>4</v>
      </c>
      <c r="C4">
        <v>100</v>
      </c>
    </row>
    <row r="5" spans="1:4" x14ac:dyDescent="0.3">
      <c r="A5" t="s">
        <v>42</v>
      </c>
      <c r="B5" s="8">
        <v>2</v>
      </c>
      <c r="C5">
        <v>50</v>
      </c>
    </row>
    <row r="7" spans="1:4" ht="15" x14ac:dyDescent="0.3">
      <c r="B7" t="s">
        <v>43</v>
      </c>
      <c r="C7" s="11">
        <f>SUMPRODUCT(B1:B5,C1:C5)</f>
        <v>3500</v>
      </c>
      <c r="D7" s="3" t="str" cm="1">
        <f t="array" ref="D7">_xlfn.IFS(C7="","",AND(_xlfn.ISFORMULA(C7),C7=3500),"P",TRUE,"O")</f>
        <v>P</v>
      </c>
    </row>
    <row r="13" spans="1:4" x14ac:dyDescent="0.3">
      <c r="C13" s="10"/>
    </row>
  </sheetData>
  <conditionalFormatting sqref="D7">
    <cfRule type="expression" dxfId="0" priority="1">
      <formula>AND(_xlfn.ISFORMULA(C7),C7=3500)</formula>
    </cfRule>
  </conditionalFormatting>
  <dataValidations count="1">
    <dataValidation allowBlank="1" showInputMessage="1" showErrorMessage="1" prompt="Calculate total amount spent" sqref="C7" xr:uid="{6D40C539-9517-48B5-B642-BA7A1AF45903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5950-5903-4FA5-8525-C8CF320E71A3}">
  <dimension ref="A1:I12"/>
  <sheetViews>
    <sheetView workbookViewId="0">
      <selection activeCell="G17" sqref="G17"/>
    </sheetView>
  </sheetViews>
  <sheetFormatPr defaultRowHeight="14.4" x14ac:dyDescent="0.3"/>
  <sheetData>
    <row r="1" spans="1:9" x14ac:dyDescent="0.3">
      <c r="A1">
        <v>90</v>
      </c>
      <c r="D1">
        <v>10</v>
      </c>
      <c r="F1">
        <f>A1-$D$1</f>
        <v>80</v>
      </c>
      <c r="H1" t="s">
        <v>52</v>
      </c>
      <c r="I1">
        <v>10</v>
      </c>
    </row>
    <row r="2" spans="1:9" x14ac:dyDescent="0.3">
      <c r="A2">
        <v>-6</v>
      </c>
      <c r="F2">
        <f t="shared" ref="F2:F10" si="0">A2-$D$1</f>
        <v>-16</v>
      </c>
    </row>
    <row r="3" spans="1:9" x14ac:dyDescent="0.3">
      <c r="A3">
        <v>13</v>
      </c>
      <c r="F3">
        <f t="shared" si="0"/>
        <v>3</v>
      </c>
    </row>
    <row r="4" spans="1:9" x14ac:dyDescent="0.3">
      <c r="A4">
        <v>-6</v>
      </c>
      <c r="F4">
        <f t="shared" si="0"/>
        <v>-16</v>
      </c>
    </row>
    <row r="5" spans="1:9" x14ac:dyDescent="0.3">
      <c r="A5">
        <v>-5</v>
      </c>
      <c r="F5">
        <f t="shared" si="0"/>
        <v>-15</v>
      </c>
    </row>
    <row r="6" spans="1:9" x14ac:dyDescent="0.3">
      <c r="A6">
        <v>-4</v>
      </c>
      <c r="F6">
        <f t="shared" si="0"/>
        <v>-14</v>
      </c>
    </row>
    <row r="7" spans="1:9" x14ac:dyDescent="0.3">
      <c r="A7">
        <v>-2</v>
      </c>
      <c r="F7">
        <f t="shared" si="0"/>
        <v>-12</v>
      </c>
    </row>
    <row r="8" spans="1:9" x14ac:dyDescent="0.3">
      <c r="A8">
        <v>68</v>
      </c>
      <c r="F8">
        <f t="shared" si="0"/>
        <v>58</v>
      </c>
    </row>
    <row r="9" spans="1:9" x14ac:dyDescent="0.3">
      <c r="A9">
        <v>-1</v>
      </c>
      <c r="F9">
        <f t="shared" si="0"/>
        <v>-11</v>
      </c>
    </row>
    <row r="10" spans="1:9" x14ac:dyDescent="0.3">
      <c r="A10">
        <v>78</v>
      </c>
      <c r="F10">
        <f t="shared" si="0"/>
        <v>68</v>
      </c>
    </row>
    <row r="12" spans="1:9" x14ac:dyDescent="0.3">
      <c r="A12">
        <f>A1-A2-A3-A4-A5-A6-A7-A8-A9-A10</f>
        <v>-45</v>
      </c>
      <c r="B12" t="s">
        <v>52</v>
      </c>
      <c r="C12">
        <f>A1-(SUM(A2:A10))</f>
        <v>-45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269E-C374-4CFB-9737-63F4D554F4BD}">
  <dimension ref="A1:R13"/>
  <sheetViews>
    <sheetView workbookViewId="0">
      <selection activeCell="T18" sqref="T18"/>
    </sheetView>
  </sheetViews>
  <sheetFormatPr defaultRowHeight="14.4" x14ac:dyDescent="0.3"/>
  <cols>
    <col min="1" max="1" width="11" bestFit="1" customWidth="1"/>
  </cols>
  <sheetData>
    <row r="1" spans="1:18" x14ac:dyDescent="0.3">
      <c r="A1">
        <v>1</v>
      </c>
      <c r="C1">
        <f>A1*A2*A3</f>
        <v>6</v>
      </c>
      <c r="E1">
        <v>1</v>
      </c>
      <c r="F1">
        <v>1</v>
      </c>
      <c r="G1">
        <v>1</v>
      </c>
      <c r="J1">
        <v>1</v>
      </c>
      <c r="K1">
        <v>1</v>
      </c>
      <c r="L1">
        <f>K1*J1</f>
        <v>1</v>
      </c>
      <c r="N1">
        <v>10</v>
      </c>
      <c r="O1">
        <f>J1*$N$1</f>
        <v>10</v>
      </c>
      <c r="Q1">
        <v>10</v>
      </c>
      <c r="R1">
        <v>10</v>
      </c>
    </row>
    <row r="2" spans="1:18" x14ac:dyDescent="0.3">
      <c r="A2">
        <v>2</v>
      </c>
      <c r="E2">
        <v>2</v>
      </c>
      <c r="F2">
        <v>2</v>
      </c>
      <c r="G2">
        <v>2</v>
      </c>
      <c r="J2">
        <v>2</v>
      </c>
      <c r="K2">
        <v>2</v>
      </c>
      <c r="L2">
        <f t="shared" ref="L2:L11" si="0">K2*J2</f>
        <v>4</v>
      </c>
      <c r="O2">
        <f t="shared" ref="O2:O11" si="1">J2*$N$1</f>
        <v>20</v>
      </c>
      <c r="Q2">
        <v>20</v>
      </c>
    </row>
    <row r="3" spans="1:18" x14ac:dyDescent="0.3">
      <c r="A3">
        <v>3</v>
      </c>
      <c r="E3">
        <v>3</v>
      </c>
      <c r="F3">
        <v>3</v>
      </c>
      <c r="J3">
        <v>3</v>
      </c>
      <c r="K3">
        <v>3</v>
      </c>
      <c r="L3">
        <f t="shared" si="0"/>
        <v>9</v>
      </c>
      <c r="O3">
        <f t="shared" si="1"/>
        <v>30</v>
      </c>
      <c r="Q3">
        <v>30</v>
      </c>
    </row>
    <row r="4" spans="1:18" x14ac:dyDescent="0.3">
      <c r="A4">
        <v>4</v>
      </c>
      <c r="E4">
        <v>4</v>
      </c>
      <c r="J4">
        <v>4</v>
      </c>
      <c r="K4">
        <v>4</v>
      </c>
      <c r="L4">
        <f t="shared" si="0"/>
        <v>16</v>
      </c>
      <c r="O4">
        <f t="shared" si="1"/>
        <v>40</v>
      </c>
      <c r="Q4">
        <v>40</v>
      </c>
    </row>
    <row r="5" spans="1:18" x14ac:dyDescent="0.3">
      <c r="A5">
        <v>5</v>
      </c>
      <c r="E5">
        <v>5</v>
      </c>
      <c r="J5">
        <v>5</v>
      </c>
      <c r="K5">
        <v>5</v>
      </c>
      <c r="L5">
        <f t="shared" si="0"/>
        <v>25</v>
      </c>
      <c r="O5">
        <f t="shared" si="1"/>
        <v>50</v>
      </c>
      <c r="Q5">
        <v>50</v>
      </c>
    </row>
    <row r="6" spans="1:18" x14ac:dyDescent="0.3">
      <c r="A6">
        <v>6</v>
      </c>
      <c r="E6">
        <v>6</v>
      </c>
      <c r="J6">
        <v>6</v>
      </c>
      <c r="K6">
        <v>6</v>
      </c>
      <c r="L6">
        <f t="shared" si="0"/>
        <v>36</v>
      </c>
      <c r="O6">
        <f t="shared" si="1"/>
        <v>60</v>
      </c>
      <c r="Q6">
        <v>60</v>
      </c>
    </row>
    <row r="7" spans="1:18" x14ac:dyDescent="0.3">
      <c r="A7">
        <v>7</v>
      </c>
      <c r="J7">
        <v>7</v>
      </c>
      <c r="K7">
        <v>7</v>
      </c>
      <c r="L7">
        <f t="shared" si="0"/>
        <v>49</v>
      </c>
      <c r="O7">
        <f t="shared" si="1"/>
        <v>70</v>
      </c>
      <c r="Q7">
        <v>70</v>
      </c>
    </row>
    <row r="8" spans="1:18" x14ac:dyDescent="0.3">
      <c r="A8">
        <v>8</v>
      </c>
      <c r="J8">
        <v>8</v>
      </c>
      <c r="K8">
        <v>8</v>
      </c>
      <c r="L8">
        <f t="shared" si="0"/>
        <v>64</v>
      </c>
      <c r="O8">
        <f t="shared" si="1"/>
        <v>80</v>
      </c>
      <c r="Q8">
        <v>80</v>
      </c>
    </row>
    <row r="9" spans="1:18" x14ac:dyDescent="0.3">
      <c r="A9">
        <v>9</v>
      </c>
      <c r="E9">
        <f>PRODUCT(E1:G6)</f>
        <v>8640</v>
      </c>
      <c r="G9">
        <f>PRODUCT(E1:E6,F1:F3,G1:G2)</f>
        <v>8640</v>
      </c>
      <c r="J9">
        <v>9</v>
      </c>
      <c r="K9">
        <v>9</v>
      </c>
      <c r="L9">
        <f t="shared" si="0"/>
        <v>81</v>
      </c>
      <c r="O9">
        <f t="shared" si="1"/>
        <v>90</v>
      </c>
      <c r="Q9">
        <v>90</v>
      </c>
    </row>
    <row r="10" spans="1:18" x14ac:dyDescent="0.3">
      <c r="A10">
        <v>10</v>
      </c>
      <c r="J10">
        <v>10</v>
      </c>
      <c r="K10">
        <v>10</v>
      </c>
      <c r="L10">
        <f t="shared" si="0"/>
        <v>100</v>
      </c>
      <c r="O10">
        <f t="shared" si="1"/>
        <v>100</v>
      </c>
      <c r="Q10">
        <v>100</v>
      </c>
    </row>
    <row r="11" spans="1:18" x14ac:dyDescent="0.3">
      <c r="J11">
        <v>11</v>
      </c>
      <c r="K11">
        <v>11</v>
      </c>
      <c r="L11">
        <f t="shared" si="0"/>
        <v>121</v>
      </c>
      <c r="O11">
        <f t="shared" si="1"/>
        <v>110</v>
      </c>
    </row>
    <row r="13" spans="1:18" x14ac:dyDescent="0.3">
      <c r="A13">
        <f>PRODUCT(A1:A10)</f>
        <v>3628800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4F16-8F58-45E5-AF12-01369AED84D3}">
  <dimension ref="A1:Q10"/>
  <sheetViews>
    <sheetView workbookViewId="0">
      <selection activeCell="W14" sqref="W14"/>
    </sheetView>
  </sheetViews>
  <sheetFormatPr defaultRowHeight="14.4" x14ac:dyDescent="0.3"/>
  <sheetData>
    <row r="1" spans="1:17" x14ac:dyDescent="0.3">
      <c r="A1">
        <v>10</v>
      </c>
      <c r="B1">
        <v>5</v>
      </c>
      <c r="C1">
        <f>A1/B1</f>
        <v>2</v>
      </c>
      <c r="E1">
        <v>1</v>
      </c>
      <c r="F1">
        <v>0</v>
      </c>
      <c r="G1" t="e">
        <f>E1/F1</f>
        <v>#DIV/0!</v>
      </c>
      <c r="H1" t="s">
        <v>53</v>
      </c>
      <c r="L1">
        <v>12</v>
      </c>
      <c r="M1">
        <v>2</v>
      </c>
      <c r="N1">
        <f>L1/$M$1</f>
        <v>6</v>
      </c>
      <c r="P1">
        <v>6</v>
      </c>
      <c r="Q1">
        <v>2</v>
      </c>
    </row>
    <row r="2" spans="1:17" x14ac:dyDescent="0.3">
      <c r="A2">
        <v>20</v>
      </c>
      <c r="B2">
        <v>10</v>
      </c>
      <c r="C2">
        <f t="shared" ref="C2:C10" si="0">A2/B2</f>
        <v>2</v>
      </c>
      <c r="E2">
        <v>3</v>
      </c>
      <c r="F2">
        <v>2</v>
      </c>
      <c r="G2">
        <f t="shared" ref="G2:G10" si="1">E2/F2</f>
        <v>1.5</v>
      </c>
      <c r="H2">
        <f>QUOTIENT(E2,F2)</f>
        <v>1</v>
      </c>
      <c r="I2">
        <f>MOD(E2,F2)</f>
        <v>1</v>
      </c>
      <c r="L2">
        <v>24</v>
      </c>
      <c r="N2">
        <f t="shared" ref="N2:N10" si="2">L2/$M$1</f>
        <v>12</v>
      </c>
      <c r="P2">
        <v>12</v>
      </c>
    </row>
    <row r="3" spans="1:17" x14ac:dyDescent="0.3">
      <c r="A3">
        <v>30</v>
      </c>
      <c r="B3">
        <v>15</v>
      </c>
      <c r="C3">
        <f t="shared" si="0"/>
        <v>2</v>
      </c>
      <c r="E3">
        <v>5</v>
      </c>
      <c r="F3">
        <v>4</v>
      </c>
      <c r="G3">
        <f t="shared" si="1"/>
        <v>1.25</v>
      </c>
      <c r="H3">
        <f t="shared" ref="H3:H10" si="3">QUOTIENT(E3,F3)</f>
        <v>1</v>
      </c>
      <c r="I3">
        <f t="shared" ref="I3:I10" si="4">MOD(E3,F3)</f>
        <v>1</v>
      </c>
      <c r="L3">
        <v>36</v>
      </c>
      <c r="N3">
        <f t="shared" si="2"/>
        <v>18</v>
      </c>
      <c r="P3">
        <v>18</v>
      </c>
    </row>
    <row r="4" spans="1:17" x14ac:dyDescent="0.3">
      <c r="A4">
        <v>40</v>
      </c>
      <c r="B4">
        <v>20</v>
      </c>
      <c r="C4">
        <f t="shared" si="0"/>
        <v>2</v>
      </c>
      <c r="E4">
        <v>17</v>
      </c>
      <c r="F4">
        <v>6</v>
      </c>
      <c r="G4">
        <f t="shared" si="1"/>
        <v>2.8333333333333335</v>
      </c>
      <c r="H4">
        <f t="shared" si="3"/>
        <v>2</v>
      </c>
      <c r="I4">
        <f t="shared" si="4"/>
        <v>5</v>
      </c>
      <c r="L4">
        <v>48</v>
      </c>
      <c r="N4">
        <f t="shared" si="2"/>
        <v>24</v>
      </c>
      <c r="P4">
        <v>24</v>
      </c>
    </row>
    <row r="5" spans="1:17" x14ac:dyDescent="0.3">
      <c r="A5">
        <v>50</v>
      </c>
      <c r="B5">
        <v>25</v>
      </c>
      <c r="C5">
        <f t="shared" si="0"/>
        <v>2</v>
      </c>
      <c r="E5">
        <v>9</v>
      </c>
      <c r="F5">
        <v>8</v>
      </c>
      <c r="G5">
        <f t="shared" si="1"/>
        <v>1.125</v>
      </c>
      <c r="H5">
        <f t="shared" si="3"/>
        <v>1</v>
      </c>
      <c r="I5">
        <f t="shared" si="4"/>
        <v>1</v>
      </c>
      <c r="L5">
        <v>60</v>
      </c>
      <c r="N5">
        <f t="shared" si="2"/>
        <v>30</v>
      </c>
      <c r="P5">
        <v>30</v>
      </c>
    </row>
    <row r="6" spans="1:17" x14ac:dyDescent="0.3">
      <c r="A6">
        <v>60</v>
      </c>
      <c r="B6">
        <v>30</v>
      </c>
      <c r="C6">
        <f t="shared" si="0"/>
        <v>2</v>
      </c>
      <c r="E6">
        <v>11</v>
      </c>
      <c r="F6">
        <v>10</v>
      </c>
      <c r="G6">
        <f t="shared" si="1"/>
        <v>1.1000000000000001</v>
      </c>
      <c r="H6">
        <f t="shared" si="3"/>
        <v>1</v>
      </c>
      <c r="I6">
        <f t="shared" si="4"/>
        <v>1</v>
      </c>
      <c r="L6">
        <v>72</v>
      </c>
      <c r="N6">
        <f t="shared" si="2"/>
        <v>36</v>
      </c>
      <c r="P6">
        <v>36</v>
      </c>
    </row>
    <row r="7" spans="1:17" x14ac:dyDescent="0.3">
      <c r="A7">
        <v>70</v>
      </c>
      <c r="B7">
        <v>35</v>
      </c>
      <c r="C7">
        <f t="shared" si="0"/>
        <v>2</v>
      </c>
      <c r="E7">
        <v>13</v>
      </c>
      <c r="F7">
        <v>12</v>
      </c>
      <c r="G7">
        <f t="shared" si="1"/>
        <v>1.0833333333333333</v>
      </c>
      <c r="H7">
        <f t="shared" si="3"/>
        <v>1</v>
      </c>
      <c r="I7">
        <f t="shared" si="4"/>
        <v>1</v>
      </c>
      <c r="L7">
        <v>84</v>
      </c>
      <c r="N7">
        <f t="shared" si="2"/>
        <v>42</v>
      </c>
      <c r="P7">
        <v>42</v>
      </c>
    </row>
    <row r="8" spans="1:17" x14ac:dyDescent="0.3">
      <c r="A8">
        <v>80</v>
      </c>
      <c r="B8">
        <v>40</v>
      </c>
      <c r="C8">
        <f t="shared" si="0"/>
        <v>2</v>
      </c>
      <c r="E8">
        <v>15</v>
      </c>
      <c r="F8">
        <v>14</v>
      </c>
      <c r="G8">
        <f t="shared" si="1"/>
        <v>1.0714285714285714</v>
      </c>
      <c r="H8">
        <f t="shared" si="3"/>
        <v>1</v>
      </c>
      <c r="I8">
        <f t="shared" si="4"/>
        <v>1</v>
      </c>
      <c r="L8">
        <v>96</v>
      </c>
      <c r="N8">
        <f t="shared" si="2"/>
        <v>48</v>
      </c>
      <c r="P8">
        <v>48</v>
      </c>
    </row>
    <row r="9" spans="1:17" x14ac:dyDescent="0.3">
      <c r="A9">
        <v>90</v>
      </c>
      <c r="B9">
        <v>45</v>
      </c>
      <c r="C9">
        <f t="shared" si="0"/>
        <v>2</v>
      </c>
      <c r="E9">
        <v>17</v>
      </c>
      <c r="F9">
        <v>16</v>
      </c>
      <c r="G9">
        <f t="shared" si="1"/>
        <v>1.0625</v>
      </c>
      <c r="H9">
        <f t="shared" si="3"/>
        <v>1</v>
      </c>
      <c r="I9">
        <f t="shared" si="4"/>
        <v>1</v>
      </c>
      <c r="L9">
        <v>108</v>
      </c>
      <c r="N9">
        <f t="shared" si="2"/>
        <v>54</v>
      </c>
      <c r="P9">
        <v>54</v>
      </c>
    </row>
    <row r="10" spans="1:17" x14ac:dyDescent="0.3">
      <c r="A10">
        <v>100</v>
      </c>
      <c r="B10">
        <v>50</v>
      </c>
      <c r="C10">
        <f t="shared" si="0"/>
        <v>2</v>
      </c>
      <c r="E10">
        <v>19</v>
      </c>
      <c r="F10">
        <v>18</v>
      </c>
      <c r="G10">
        <f t="shared" si="1"/>
        <v>1.0555555555555556</v>
      </c>
      <c r="H10">
        <f t="shared" si="3"/>
        <v>1</v>
      </c>
      <c r="I10">
        <f t="shared" si="4"/>
        <v>1</v>
      </c>
      <c r="L10">
        <v>120</v>
      </c>
      <c r="N10">
        <f t="shared" si="2"/>
        <v>60</v>
      </c>
      <c r="P10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AFE7-FA2E-4F3D-A95C-6C082EE9119E}">
  <dimension ref="A1:E4"/>
  <sheetViews>
    <sheetView workbookViewId="0">
      <selection activeCell="C13" sqref="C13"/>
    </sheetView>
  </sheetViews>
  <sheetFormatPr defaultRowHeight="14.4" x14ac:dyDescent="0.3"/>
  <sheetData>
    <row r="1" spans="1:5" x14ac:dyDescent="0.3">
      <c r="A1">
        <f>4*4</f>
        <v>16</v>
      </c>
      <c r="B1">
        <f>3*3*3</f>
        <v>27</v>
      </c>
      <c r="D1">
        <v>25</v>
      </c>
      <c r="E1">
        <f>SQRT(D1)</f>
        <v>5</v>
      </c>
    </row>
    <row r="2" spans="1:5" x14ac:dyDescent="0.3">
      <c r="A2">
        <f>4^2</f>
        <v>16</v>
      </c>
      <c r="B2">
        <f>3^3</f>
        <v>27</v>
      </c>
      <c r="D2">
        <v>49</v>
      </c>
      <c r="E2">
        <f>SQRT(D2)</f>
        <v>7</v>
      </c>
    </row>
    <row r="4" spans="1:5" x14ac:dyDescent="0.3">
      <c r="A4">
        <f>A2^(1/2)</f>
        <v>4</v>
      </c>
      <c r="B4">
        <v>64</v>
      </c>
      <c r="C4">
        <f>B4^(1/6)</f>
        <v>1.9999999999999998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A66A-178D-4BDF-A525-3331DCE4156F}">
  <dimension ref="A1:L13"/>
  <sheetViews>
    <sheetView workbookViewId="0">
      <selection activeCell="M18" sqref="M18"/>
    </sheetView>
  </sheetViews>
  <sheetFormatPr defaultRowHeight="14.4" x14ac:dyDescent="0.3"/>
  <sheetData>
    <row r="1" spans="1:12" x14ac:dyDescent="0.3">
      <c r="A1" s="15">
        <v>0.72</v>
      </c>
    </row>
    <row r="3" spans="1:12" x14ac:dyDescent="0.3">
      <c r="A3">
        <v>20</v>
      </c>
      <c r="B3">
        <v>60</v>
      </c>
      <c r="C3" s="16">
        <f>A3/B3</f>
        <v>0.33333333333333331</v>
      </c>
      <c r="J3">
        <v>110</v>
      </c>
      <c r="K3">
        <v>50</v>
      </c>
      <c r="L3">
        <v>150</v>
      </c>
    </row>
    <row r="4" spans="1:12" x14ac:dyDescent="0.3">
      <c r="K4" s="18">
        <f>(K3-J3)/J3</f>
        <v>-0.54545454545454541</v>
      </c>
      <c r="L4" s="18">
        <f>(L3-J3)/J3</f>
        <v>0.36363636363636365</v>
      </c>
    </row>
    <row r="5" spans="1:12" x14ac:dyDescent="0.3">
      <c r="A5">
        <v>100</v>
      </c>
      <c r="B5" s="15">
        <v>0.2</v>
      </c>
      <c r="C5" s="17">
        <f>A5*(1+B5)</f>
        <v>120</v>
      </c>
      <c r="E5" s="15">
        <f>(C5-A5)/A5</f>
        <v>0.2</v>
      </c>
    </row>
    <row r="7" spans="1:12" x14ac:dyDescent="0.3">
      <c r="A7">
        <v>80</v>
      </c>
      <c r="B7" s="15">
        <v>0.5</v>
      </c>
      <c r="C7">
        <f>A7*(1-B7)</f>
        <v>40</v>
      </c>
    </row>
    <row r="10" spans="1:12" x14ac:dyDescent="0.3">
      <c r="A10">
        <v>80</v>
      </c>
      <c r="B10">
        <v>40</v>
      </c>
      <c r="C10" s="15">
        <f>(B10-A10)/A10</f>
        <v>-0.5</v>
      </c>
    </row>
    <row r="11" spans="1:12" x14ac:dyDescent="0.3">
      <c r="I11">
        <v>80</v>
      </c>
      <c r="J11">
        <v>60</v>
      </c>
      <c r="K11" s="15">
        <f>(I11-J11)/I11</f>
        <v>0.25</v>
      </c>
    </row>
    <row r="13" spans="1:12" x14ac:dyDescent="0.3">
      <c r="I13">
        <v>60</v>
      </c>
      <c r="J13" s="15">
        <v>0.25</v>
      </c>
      <c r="K13" s="19">
        <f>I13/(1-J13)</f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4391-75D9-4091-A105-9185AB12FA27}">
  <dimension ref="A1:Q19"/>
  <sheetViews>
    <sheetView tabSelected="1" workbookViewId="0">
      <selection activeCell="S20" sqref="S20"/>
    </sheetView>
  </sheetViews>
  <sheetFormatPr defaultRowHeight="14.4" x14ac:dyDescent="0.3"/>
  <sheetData>
    <row r="1" spans="1:17" x14ac:dyDescent="0.3">
      <c r="A1">
        <v>10</v>
      </c>
      <c r="C1" cm="1">
        <f t="array" ref="C1:C10">prices*taxrate</f>
        <v>1</v>
      </c>
      <c r="G1" t="s">
        <v>54</v>
      </c>
      <c r="H1" t="s">
        <v>55</v>
      </c>
      <c r="I1" t="s">
        <v>56</v>
      </c>
      <c r="M1" t="s">
        <v>66</v>
      </c>
    </row>
    <row r="2" spans="1:17" x14ac:dyDescent="0.3">
      <c r="A2">
        <v>20</v>
      </c>
      <c r="C2">
        <v>2</v>
      </c>
      <c r="F2" t="s">
        <v>57</v>
      </c>
      <c r="G2">
        <v>10</v>
      </c>
      <c r="H2">
        <v>5</v>
      </c>
      <c r="I2">
        <v>20</v>
      </c>
    </row>
    <row r="3" spans="1:17" x14ac:dyDescent="0.3">
      <c r="A3">
        <v>30</v>
      </c>
      <c r="C3">
        <v>3</v>
      </c>
      <c r="F3" t="s">
        <v>58</v>
      </c>
      <c r="G3">
        <v>15</v>
      </c>
      <c r="H3">
        <v>10</v>
      </c>
      <c r="I3">
        <v>40</v>
      </c>
      <c r="K3" t="s">
        <v>64</v>
      </c>
      <c r="L3" cm="1">
        <f t="array" ref="L3">jan pickle</f>
        <v>20</v>
      </c>
      <c r="N3">
        <v>10</v>
      </c>
    </row>
    <row r="4" spans="1:17" x14ac:dyDescent="0.3">
      <c r="A4">
        <v>40</v>
      </c>
      <c r="C4">
        <v>4</v>
      </c>
      <c r="F4" t="s">
        <v>59</v>
      </c>
      <c r="G4">
        <v>20</v>
      </c>
      <c r="H4">
        <v>15</v>
      </c>
      <c r="I4">
        <v>60</v>
      </c>
      <c r="K4" t="s">
        <v>65</v>
      </c>
      <c r="L4" cm="1">
        <f t="array" ref="L4">mar cookie</f>
        <v>15</v>
      </c>
      <c r="N4">
        <v>20</v>
      </c>
    </row>
    <row r="5" spans="1:17" x14ac:dyDescent="0.3">
      <c r="A5">
        <v>50</v>
      </c>
      <c r="C5">
        <v>5</v>
      </c>
      <c r="F5" t="s">
        <v>60</v>
      </c>
      <c r="G5">
        <v>25</v>
      </c>
      <c r="H5">
        <v>20</v>
      </c>
      <c r="I5">
        <v>80</v>
      </c>
      <c r="N5">
        <v>30</v>
      </c>
    </row>
    <row r="6" spans="1:17" x14ac:dyDescent="0.3">
      <c r="A6">
        <v>60</v>
      </c>
      <c r="C6">
        <v>6</v>
      </c>
      <c r="F6" t="s">
        <v>61</v>
      </c>
      <c r="G6">
        <v>30</v>
      </c>
      <c r="H6">
        <v>25</v>
      </c>
      <c r="I6">
        <v>100</v>
      </c>
      <c r="N6">
        <v>40</v>
      </c>
      <c r="Q6" t="s">
        <v>67</v>
      </c>
    </row>
    <row r="7" spans="1:17" x14ac:dyDescent="0.3">
      <c r="A7">
        <v>70</v>
      </c>
      <c r="C7">
        <v>7</v>
      </c>
      <c r="F7" t="s">
        <v>62</v>
      </c>
      <c r="G7">
        <v>35</v>
      </c>
      <c r="H7">
        <v>30</v>
      </c>
      <c r="I7">
        <v>120</v>
      </c>
      <c r="N7">
        <v>50</v>
      </c>
      <c r="Q7">
        <f ca="1">SUM(values)</f>
        <v>1455</v>
      </c>
    </row>
    <row r="8" spans="1:17" x14ac:dyDescent="0.3">
      <c r="A8">
        <v>80</v>
      </c>
      <c r="C8">
        <v>8</v>
      </c>
      <c r="F8" t="s">
        <v>63</v>
      </c>
      <c r="G8">
        <v>40</v>
      </c>
      <c r="H8">
        <v>35</v>
      </c>
      <c r="I8">
        <v>140</v>
      </c>
      <c r="N8">
        <v>60</v>
      </c>
    </row>
    <row r="9" spans="1:17" x14ac:dyDescent="0.3">
      <c r="A9">
        <v>90</v>
      </c>
      <c r="C9">
        <v>9</v>
      </c>
      <c r="N9">
        <v>70</v>
      </c>
    </row>
    <row r="10" spans="1:17" x14ac:dyDescent="0.3">
      <c r="A10">
        <v>100</v>
      </c>
      <c r="C10">
        <v>10</v>
      </c>
      <c r="N10">
        <v>80</v>
      </c>
    </row>
    <row r="11" spans="1:17" x14ac:dyDescent="0.3">
      <c r="N11">
        <v>90</v>
      </c>
    </row>
    <row r="12" spans="1:17" x14ac:dyDescent="0.3">
      <c r="A12">
        <f>SUM(prices)</f>
        <v>550</v>
      </c>
      <c r="N12">
        <v>100</v>
      </c>
    </row>
    <row r="13" spans="1:17" x14ac:dyDescent="0.3">
      <c r="N13">
        <v>105</v>
      </c>
    </row>
    <row r="14" spans="1:17" x14ac:dyDescent="0.3">
      <c r="N14">
        <v>110</v>
      </c>
    </row>
    <row r="16" spans="1:17" x14ac:dyDescent="0.3">
      <c r="N16">
        <v>250</v>
      </c>
    </row>
    <row r="19" spans="14:14" x14ac:dyDescent="0.3">
      <c r="N19">
        <v>500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11</vt:i4>
      </vt:variant>
    </vt:vector>
  </HeadingPairs>
  <TitlesOfParts>
    <vt:vector size="27" baseType="lpstr">
      <vt:lpstr>COUNT</vt:lpstr>
      <vt:lpstr>SUM</vt:lpstr>
      <vt:lpstr>IF</vt:lpstr>
      <vt:lpstr>AVERAGE</vt:lpstr>
      <vt:lpstr>COUNTIF</vt:lpstr>
      <vt:lpstr>SUMIF</vt:lpstr>
      <vt:lpstr>VLOOKUP</vt:lpstr>
      <vt:lpstr>MIN</vt:lpstr>
      <vt:lpstr>MAX</vt:lpstr>
      <vt:lpstr>SUMPRODUCT</vt:lpstr>
      <vt:lpstr>SUBTRACT</vt:lpstr>
      <vt:lpstr>MULTIPLY</vt:lpstr>
      <vt:lpstr>Divide</vt:lpstr>
      <vt:lpstr>SQUAREROOT</vt:lpstr>
      <vt:lpstr>Percentage</vt:lpstr>
      <vt:lpstr>NamedRange</vt:lpstr>
      <vt:lpstr>apr</vt:lpstr>
      <vt:lpstr>cookie</vt:lpstr>
      <vt:lpstr>feb</vt:lpstr>
      <vt:lpstr>jan</vt:lpstr>
      <vt:lpstr>jul</vt:lpstr>
      <vt:lpstr>jun</vt:lpstr>
      <vt:lpstr>mar</vt:lpstr>
      <vt:lpstr>may</vt:lpstr>
      <vt:lpstr>pickle</vt:lpstr>
      <vt:lpstr>prices</vt:lpstr>
      <vt:lpstr>soap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2020-11-30T16:23:05Z</dcterms:created>
  <dcterms:modified xsi:type="dcterms:W3CDTF">2026-01-19T14:25:57Z</dcterms:modified>
</cp:coreProperties>
</file>